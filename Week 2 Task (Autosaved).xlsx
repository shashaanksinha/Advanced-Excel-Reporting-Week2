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75" windowWidth="20115" windowHeight="8520" activeTab="1"/>
  </bookViews>
  <sheets>
    <sheet name="Raw_Data" sheetId="1" r:id="rId1"/>
    <sheet name="Cleaning Formulas" sheetId="4" r:id="rId2"/>
    <sheet name="Clean_Data" sheetId="5" r:id="rId3"/>
    <sheet name="Summary Analysis" sheetId="6" r:id="rId4"/>
  </sheets>
  <calcPr calcId="125725" iterateDelta="1E-4"/>
  <fileRecoveryPr repairLoad="1"/>
</workbook>
</file>

<file path=xl/calcChain.xml><?xml version="1.0" encoding="utf-8"?>
<calcChain xmlns="http://schemas.openxmlformats.org/spreadsheetml/2006/main">
  <c r="B8" i="6"/>
  <c r="B7"/>
  <c r="B6"/>
  <c r="B5"/>
  <c r="B4"/>
  <c r="B3"/>
  <c r="B2"/>
  <c r="M47" i="5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  <c r="M2"/>
  <c r="I3" i="4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2"/>
  <c r="A3"/>
  <c r="J3" s="1"/>
  <c r="A4"/>
  <c r="J4" s="1"/>
  <c r="A5"/>
  <c r="J5" s="1"/>
  <c r="A6"/>
  <c r="J6" s="1"/>
  <c r="A7"/>
  <c r="J7" s="1"/>
  <c r="A8"/>
  <c r="J8" s="1"/>
  <c r="A9"/>
  <c r="J9" s="1"/>
  <c r="A10"/>
  <c r="J10" s="1"/>
  <c r="A11"/>
  <c r="J11" s="1"/>
  <c r="A12"/>
  <c r="J12" s="1"/>
  <c r="A13"/>
  <c r="J13" s="1"/>
  <c r="A14"/>
  <c r="J14" s="1"/>
  <c r="A15"/>
  <c r="J15" s="1"/>
  <c r="A16"/>
  <c r="J16" s="1"/>
  <c r="A17"/>
  <c r="J17" s="1"/>
  <c r="A18"/>
  <c r="J18" s="1"/>
  <c r="A19"/>
  <c r="J19" s="1"/>
  <c r="A20"/>
  <c r="J20" s="1"/>
  <c r="A21"/>
  <c r="J21" s="1"/>
  <c r="A22"/>
  <c r="J22" s="1"/>
  <c r="A23"/>
  <c r="J23" s="1"/>
  <c r="A24"/>
  <c r="J24" s="1"/>
  <c r="A25"/>
  <c r="J25" s="1"/>
  <c r="A26"/>
  <c r="J26" s="1"/>
  <c r="A27"/>
  <c r="J27" s="1"/>
  <c r="A28"/>
  <c r="J28" s="1"/>
  <c r="A29"/>
  <c r="J29" s="1"/>
  <c r="A30"/>
  <c r="J30" s="1"/>
  <c r="A31"/>
  <c r="J31" s="1"/>
  <c r="A32"/>
  <c r="J32" s="1"/>
  <c r="A33"/>
  <c r="J33" s="1"/>
  <c r="A34"/>
  <c r="J34" s="1"/>
  <c r="A35"/>
  <c r="J35" s="1"/>
  <c r="A36"/>
  <c r="J36" s="1"/>
  <c r="A37"/>
  <c r="J37" s="1"/>
  <c r="A38"/>
  <c r="J38" s="1"/>
  <c r="A39"/>
  <c r="J39" s="1"/>
  <c r="A40"/>
  <c r="J40" s="1"/>
  <c r="A41"/>
  <c r="J41" s="1"/>
  <c r="A42"/>
  <c r="J42" s="1"/>
  <c r="A43"/>
  <c r="J43" s="1"/>
  <c r="A44"/>
  <c r="J44" s="1"/>
  <c r="A45"/>
  <c r="J45" s="1"/>
  <c r="A46"/>
  <c r="J46" s="1"/>
  <c r="A47"/>
  <c r="J47" s="1"/>
  <c r="A48"/>
  <c r="J48" s="1"/>
  <c r="A49"/>
  <c r="J49" s="1"/>
  <c r="A50"/>
  <c r="J50" s="1"/>
  <c r="A51"/>
  <c r="J51" s="1"/>
  <c r="A52"/>
  <c r="J52" s="1"/>
  <c r="A2"/>
  <c r="J2" s="1"/>
  <c r="H52"/>
  <c r="H51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24"/>
  <c r="H14"/>
  <c r="H15"/>
  <c r="H16"/>
  <c r="H17"/>
  <c r="H18"/>
  <c r="H19"/>
  <c r="H20"/>
  <c r="H21"/>
  <c r="H22"/>
  <c r="H23"/>
  <c r="H12"/>
  <c r="H13"/>
  <c r="H3"/>
  <c r="H4"/>
  <c r="H5"/>
  <c r="H6"/>
  <c r="H7"/>
  <c r="H8"/>
  <c r="H9"/>
  <c r="H10"/>
  <c r="H11"/>
  <c r="H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2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2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2"/>
  <c r="D47"/>
  <c r="D48"/>
  <c r="D49"/>
  <c r="D50"/>
  <c r="D51"/>
  <c r="D52"/>
  <c r="D46"/>
  <c r="D37"/>
  <c r="D38"/>
  <c r="D39"/>
  <c r="D40"/>
  <c r="D41"/>
  <c r="D42"/>
  <c r="D43"/>
  <c r="D44"/>
  <c r="D45"/>
  <c r="D36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11"/>
  <c r="D3"/>
  <c r="D4"/>
  <c r="D5"/>
  <c r="D6"/>
  <c r="D7"/>
  <c r="D8"/>
  <c r="D9"/>
  <c r="D10"/>
  <c r="D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2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"/>
  <c r="B4"/>
  <c r="B3"/>
  <c r="B2"/>
</calcChain>
</file>

<file path=xl/sharedStrings.xml><?xml version="1.0" encoding="utf-8"?>
<sst xmlns="http://schemas.openxmlformats.org/spreadsheetml/2006/main" count="757" uniqueCount="196">
  <si>
    <t>Booking ID</t>
  </si>
  <si>
    <t>Hotel</t>
  </si>
  <si>
    <t>Customer_Name</t>
  </si>
  <si>
    <t>Country</t>
  </si>
  <si>
    <t>Arrival Date</t>
  </si>
  <si>
    <t>Lead_Time Days</t>
  </si>
  <si>
    <t>Market Segment</t>
  </si>
  <si>
    <t>Room Type</t>
  </si>
  <si>
    <t>ADR</t>
  </si>
  <si>
    <t>Total Nights</t>
  </si>
  <si>
    <t>Is Canceled</t>
  </si>
  <si>
    <t>Booking Channel</t>
  </si>
  <si>
    <t>RESORT HOTEL</t>
  </si>
  <si>
    <t>Lucas Garcia</t>
  </si>
  <si>
    <t>UNITED KINGDOM</t>
  </si>
  <si>
    <t xml:space="preserve">  Direct  </t>
  </si>
  <si>
    <t>E</t>
  </si>
  <si>
    <t>N/A</t>
  </si>
  <si>
    <t>No</t>
  </si>
  <si>
    <t>expedia</t>
  </si>
  <si>
    <t>resort hotel</t>
  </si>
  <si>
    <t>AVA MARTINEZ</t>
  </si>
  <si>
    <t>USA</t>
  </si>
  <si>
    <t>2025-05-22</t>
  </si>
  <si>
    <t>Online TA</t>
  </si>
  <si>
    <t>D</t>
  </si>
  <si>
    <t>$95.28</t>
  </si>
  <si>
    <t>Yes</t>
  </si>
  <si>
    <t>Direct Website</t>
  </si>
  <si>
    <t>city hotel</t>
  </si>
  <si>
    <t>Anna Muller</t>
  </si>
  <si>
    <t xml:space="preserve">  Brazil  </t>
  </si>
  <si>
    <t>2025-03-14</t>
  </si>
  <si>
    <t>direct</t>
  </si>
  <si>
    <t>A</t>
  </si>
  <si>
    <t>no</t>
  </si>
  <si>
    <t>Travel Agent</t>
  </si>
  <si>
    <t xml:space="preserve">  City Hotel  </t>
  </si>
  <si>
    <t>Ethan Davis</t>
  </si>
  <si>
    <t>united kingdom</t>
  </si>
  <si>
    <t>online ta</t>
  </si>
  <si>
    <t>FALSE</t>
  </si>
  <si>
    <t>direct website</t>
  </si>
  <si>
    <t>Olivia Brown</t>
  </si>
  <si>
    <t>BRAZIL</t>
  </si>
  <si>
    <t>2025-01-23</t>
  </si>
  <si>
    <t>offline ta/to</t>
  </si>
  <si>
    <t>C</t>
  </si>
  <si>
    <t>$147.32</t>
  </si>
  <si>
    <t>yes</t>
  </si>
  <si>
    <t>Expedia</t>
  </si>
  <si>
    <t>Mia Wilson</t>
  </si>
  <si>
    <t xml:space="preserve">  USA  </t>
  </si>
  <si>
    <t>2025-06-13</t>
  </si>
  <si>
    <t>$281.61</t>
  </si>
  <si>
    <t xml:space="preserve">  Resort Hotel  </t>
  </si>
  <si>
    <t>henry harris</t>
  </si>
  <si>
    <t>Ireland</t>
  </si>
  <si>
    <t>01/08/2025</t>
  </si>
  <si>
    <t>NO</t>
  </si>
  <si>
    <t>maria silva</t>
  </si>
  <si>
    <t>Spain</t>
  </si>
  <si>
    <t>thirty</t>
  </si>
  <si>
    <t xml:space="preserve">  Offline TA/TO  </t>
  </si>
  <si>
    <t xml:space="preserve">  Henry Harris  </t>
  </si>
  <si>
    <t>GERMANY</t>
  </si>
  <si>
    <t>2025-06-04</t>
  </si>
  <si>
    <t xml:space="preserve">  Expedia  </t>
  </si>
  <si>
    <t>alexander thompson</t>
  </si>
  <si>
    <t>DIRECT</t>
  </si>
  <si>
    <t xml:space="preserve">  Booking.com  </t>
  </si>
  <si>
    <t>LIAM O'BRIEN</t>
  </si>
  <si>
    <t>Brazil</t>
  </si>
  <si>
    <t>02/23/2025</t>
  </si>
  <si>
    <t xml:space="preserve">  Online TA  </t>
  </si>
  <si>
    <t>City Hotel</t>
  </si>
  <si>
    <t>amelia martin</t>
  </si>
  <si>
    <t>06/11/2025</t>
  </si>
  <si>
    <t>CORPORATE</t>
  </si>
  <si>
    <t>EXPEDIA</t>
  </si>
  <si>
    <t>James Anderson</t>
  </si>
  <si>
    <t>PORTUGAL</t>
  </si>
  <si>
    <t>Corporate</t>
  </si>
  <si>
    <t>BOOKING.COM</t>
  </si>
  <si>
    <t xml:space="preserve">  Italy  </t>
  </si>
  <si>
    <t xml:space="preserve">  Direct Website  </t>
  </si>
  <si>
    <t xml:space="preserve">  Emma Johnson  </t>
  </si>
  <si>
    <t>SPAIN</t>
  </si>
  <si>
    <t>B</t>
  </si>
  <si>
    <t>mia wilson</t>
  </si>
  <si>
    <t>spain</t>
  </si>
  <si>
    <t>2025-01-09</t>
  </si>
  <si>
    <t>corporate</t>
  </si>
  <si>
    <t>TRAVEL AGENT</t>
  </si>
  <si>
    <t>ETHAN DAVIS</t>
  </si>
  <si>
    <t xml:space="preserve">  Spain  </t>
  </si>
  <si>
    <t>06/03/2025</t>
  </si>
  <si>
    <t>$306.90</t>
  </si>
  <si>
    <t>Corporate Portal</t>
  </si>
  <si>
    <t>2025-05-08</t>
  </si>
  <si>
    <t>$274.92</t>
  </si>
  <si>
    <t>TRUE</t>
  </si>
  <si>
    <t>DIRECT WEBSITE</t>
  </si>
  <si>
    <t>Resort Hotel</t>
  </si>
  <si>
    <t>06/08/2025</t>
  </si>
  <si>
    <t>ONLINE TA</t>
  </si>
  <si>
    <t>Amelia Martin</t>
  </si>
  <si>
    <t xml:space="preserve">  Portugal  </t>
  </si>
  <si>
    <t>2025-02-05</t>
  </si>
  <si>
    <t>Groups</t>
  </si>
  <si>
    <t>portugal</t>
  </si>
  <si>
    <t>$129.61</t>
  </si>
  <si>
    <t>emma johnson</t>
  </si>
  <si>
    <t>IRELAND</t>
  </si>
  <si>
    <t>01/06/2025</t>
  </si>
  <si>
    <t xml:space="preserve">  Corporate Portal  </t>
  </si>
  <si>
    <t>Benjamin Jackson</t>
  </si>
  <si>
    <t>GROUPS</t>
  </si>
  <si>
    <t xml:space="preserve">  Lucas Garcia  </t>
  </si>
  <si>
    <t>brazil</t>
  </si>
  <si>
    <t>03/25/2025</t>
  </si>
  <si>
    <t>HENRY HARRIS</t>
  </si>
  <si>
    <t>france</t>
  </si>
  <si>
    <t>2025-03-02</t>
  </si>
  <si>
    <t>groups</t>
  </si>
  <si>
    <t>travel agent</t>
  </si>
  <si>
    <t>booking.com</t>
  </si>
  <si>
    <t>Germany</t>
  </si>
  <si>
    <t>06/25/2025</t>
  </si>
  <si>
    <t>OFFLINE TA/TO</t>
  </si>
  <si>
    <t xml:space="preserve">  Travel Agent  </t>
  </si>
  <si>
    <t xml:space="preserve">  Maria Silva  </t>
  </si>
  <si>
    <t>netherlands</t>
  </si>
  <si>
    <t>2025-01-28</t>
  </si>
  <si>
    <t>$77.67</t>
  </si>
  <si>
    <t>corporate portal</t>
  </si>
  <si>
    <t>noah williams</t>
  </si>
  <si>
    <t>2025-06-09</t>
  </si>
  <si>
    <t>Noah Williams</t>
  </si>
  <si>
    <t>Direct</t>
  </si>
  <si>
    <t>CORPORATE PORTAL</t>
  </si>
  <si>
    <t>MIA WILSON</t>
  </si>
  <si>
    <t>usa</t>
  </si>
  <si>
    <t xml:space="preserve">  John Smith  </t>
  </si>
  <si>
    <t>02/08/2025</t>
  </si>
  <si>
    <t>$82.60</t>
  </si>
  <si>
    <t>Booking.com</t>
  </si>
  <si>
    <t>james anderson</t>
  </si>
  <si>
    <t>italy</t>
  </si>
  <si>
    <t>Henry Harris</t>
  </si>
  <si>
    <t>2025-06-11</t>
  </si>
  <si>
    <t>$101.12</t>
  </si>
  <si>
    <t>ireland</t>
  </si>
  <si>
    <t>2025-04-01</t>
  </si>
  <si>
    <t>ITALY</t>
  </si>
  <si>
    <t>CITY HOTEL</t>
  </si>
  <si>
    <t>MARIA SILVA</t>
  </si>
  <si>
    <t>Portugal</t>
  </si>
  <si>
    <t>2025-03-25</t>
  </si>
  <si>
    <t>Liam O'Brien</t>
  </si>
  <si>
    <t>2025-03-08</t>
  </si>
  <si>
    <t xml:space="preserve">  Groups  </t>
  </si>
  <si>
    <t>ANNA MULLER</t>
  </si>
  <si>
    <t>2025-06-14</t>
  </si>
  <si>
    <t>EMMA JOHNSON</t>
  </si>
  <si>
    <t>06/23/2025</t>
  </si>
  <si>
    <t xml:space="preserve">  Germany  </t>
  </si>
  <si>
    <t>Offline TA/TO</t>
  </si>
  <si>
    <t>06/04/2025</t>
  </si>
  <si>
    <t>02/19/2025</t>
  </si>
  <si>
    <t>a</t>
  </si>
  <si>
    <t>Duplicate Flag</t>
  </si>
  <si>
    <t>John Smith</t>
  </si>
  <si>
    <t>Unknown</t>
  </si>
  <si>
    <t>Online Ta</t>
  </si>
  <si>
    <t>Booking.Com</t>
  </si>
  <si>
    <t>Italy</t>
  </si>
  <si>
    <t>Maria Silva</t>
  </si>
  <si>
    <t>Offline Ta/To</t>
  </si>
  <si>
    <t>Alexander Thompson</t>
  </si>
  <si>
    <t>Emma Johnson</t>
  </si>
  <si>
    <t>United Kingdom</t>
  </si>
  <si>
    <t>Netherlands</t>
  </si>
  <si>
    <t>France</t>
  </si>
  <si>
    <t>Usa</t>
  </si>
  <si>
    <t>Ava Martinez</t>
  </si>
  <si>
    <t>Revenue (ADR x Nights)</t>
  </si>
  <si>
    <t>Summary Analysis</t>
  </si>
  <si>
    <t>Total Clean Records</t>
  </si>
  <si>
    <t>Total Cancelled Bookings</t>
  </si>
  <si>
    <t>Cancellation Rate</t>
  </si>
  <si>
    <t>Total Revenue (Resort Hotel)</t>
  </si>
  <si>
    <t>Total Revenue (City Hotel)</t>
  </si>
  <si>
    <t>Avg ADR - Direct Segment</t>
  </si>
  <si>
    <t>Bookings via Booking.Com</t>
  </si>
  <si>
    <t>Amount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</si>
</sst>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\$#,##0.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rgb="FF1F4E78"/>
      <name val="Consolas"/>
      <charset val="1"/>
    </font>
    <font>
      <b/>
      <sz val="11"/>
      <color theme="1"/>
      <name val="Calibri"/>
      <scheme val="minor"/>
    </font>
    <font>
      <sz val="10"/>
      <name val="Calibri"/>
      <charset val="1"/>
    </font>
    <font>
      <sz val="14"/>
      <color theme="1"/>
      <name val="Calibri"/>
      <family val="2"/>
      <scheme val="minor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NumberFormat="1"/>
    <xf numFmtId="15" fontId="0" fillId="0" borderId="0" xfId="0" applyNumberFormat="1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/>
    </xf>
    <xf numFmtId="0" fontId="3" fillId="0" borderId="1" xfId="0" applyFont="1" applyBorder="1"/>
    <xf numFmtId="0" fontId="4" fillId="0" borderId="0" xfId="0" applyFont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10" fontId="6" fillId="0" borderId="0" xfId="0" applyNumberFormat="1" applyFont="1"/>
    <xf numFmtId="165" fontId="6" fillId="0" borderId="0" xfId="0" applyNumberFormat="1" applyFont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4"/>
        <name val="Calibri"/>
      </font>
      <numFmt numFmtId="165" formatCode="\$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4"/>
        <name val="Calibri"/>
      </font>
    </dxf>
    <dxf>
      <font>
        <strike val="0"/>
        <outline val="0"/>
        <shadow val="0"/>
        <u val="none"/>
        <vertAlign val="baseline"/>
        <sz val="14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4E78"/>
        <name val="Consolas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relativeIndent="255" justifyLastLine="0" shrinkToFit="0" mergeCell="0" readingOrder="0"/>
    </dxf>
    <dxf>
      <fill>
        <patternFill>
          <bgColor rgb="FFFFC7CE"/>
        </patternFill>
      </fill>
    </dxf>
    <dxf>
      <font>
        <b/>
        <i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L52" totalsRowShown="0" headerRowDxfId="7">
  <autoFilter ref="A1:L52"/>
  <tableColumns count="12">
    <tableColumn id="1" name="Booking ID"/>
    <tableColumn id="2" name="Hotel"/>
    <tableColumn id="3" name="Customer_Name"/>
    <tableColumn id="4" name="Country"/>
    <tableColumn id="5" name="Arrival Date"/>
    <tableColumn id="6" name="Lead_Time Days"/>
    <tableColumn id="7" name="Market Segment"/>
    <tableColumn id="8" name="Room Type"/>
    <tableColumn id="9" name="ADR"/>
    <tableColumn id="10" name="Total Nights"/>
    <tableColumn id="11" name="Is Canceled"/>
    <tableColumn id="12" name="Booking Channe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14" displayName="Table14" ref="A1:J52" totalsRowShown="0" headerRowDxfId="5">
  <autoFilter ref="A1:J52">
    <filterColumn colId="9"/>
  </autoFilter>
  <tableColumns count="10">
    <tableColumn id="1" name="Booking ID">
      <calculatedColumnFormula>Raw_Data!A2</calculatedColumnFormula>
    </tableColumn>
    <tableColumn id="2" name="Hotel">
      <calculatedColumnFormula>PROPER(TRIM(Raw_Data!B2))</calculatedColumnFormula>
    </tableColumn>
    <tableColumn id="3" name="Customer_Name">
      <calculatedColumnFormula>PROPER(TRIM(Raw_Data!C2))</calculatedColumnFormula>
    </tableColumn>
    <tableColumn id="4" name="Country">
      <calculatedColumnFormula>IF(TRIM(Raw_Data!D2)="","Unknown",PROPER(TRIM(Raw_Data!D2)))</calculatedColumnFormula>
    </tableColumn>
    <tableColumn id="5" name="Arrival Date">
      <calculatedColumnFormula>IFERROR(DATEVALUE(Raw_Data!E2),IFERROR(DATE(VALUE(RIGHT(Raw_Data!E2,4)),VALUE(LEFT(Raw_Data!E2,2)),VALUE(MID(Raw_Data!E2,4,2))),"Check Format"))</calculatedColumnFormula>
    </tableColumn>
    <tableColumn id="6" name="Lead_Time Days">
      <calculatedColumnFormula>IF(ISNUMBER(Raw_Data!F2),IF(Raw_Data!F2&lt;0,"Invalid (negative)",Raw_Data!F2),"Invalid (non-numeric)")</calculatedColumnFormula>
    </tableColumn>
    <tableColumn id="7" name="Market Segment">
      <calculatedColumnFormula>PROPER(TRIM(Raw_Data!G2))</calculatedColumnFormula>
    </tableColumn>
    <tableColumn id="9" name="ADR">
      <calculatedColumnFormula>IFERROR(VALUE(SUBSTITUTE(SUBSTITUTE(Raw_Data!I2,"$",""),",","")),"Missing/Invalid")</calculatedColumnFormula>
    </tableColumn>
    <tableColumn id="11" name="Is Canceled">
      <calculatedColumnFormula>IF(OR(UPPER(TRIM(Raw_Data!K2))="YES",UPPER(TRIM(Raw_Data!K2))="TRUE",TRIM(Raw_Data!K2)="1"),"Yes","No")</calculatedColumnFormula>
    </tableColumn>
    <tableColumn id="10" name="Duplicate Flag" dataDxfId="4">
      <calculatedColumnFormula>IF(COUNTIF($A$2:A2,A2)&gt;1,"Duplicate - Remove","Unique")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B8" totalsRowShown="0" headerRowDxfId="3" dataDxfId="2">
  <autoFilter ref="A1:B8"/>
  <tableColumns count="2">
    <tableColumn id="1" name="Summary Analysis" dataDxfId="1"/>
    <tableColumn id="2" name="Amount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L52"/>
  <sheetViews>
    <sheetView topLeftCell="A44" workbookViewId="0">
      <selection sqref="A1:L1"/>
    </sheetView>
  </sheetViews>
  <sheetFormatPr defaultRowHeight="15"/>
  <cols>
    <col min="1" max="1" width="12.5703125" customWidth="1"/>
    <col min="2" max="2" width="13.85546875" bestFit="1" customWidth="1"/>
    <col min="3" max="3" width="19.5703125" bestFit="1" customWidth="1"/>
    <col min="4" max="4" width="17" bestFit="1" customWidth="1"/>
    <col min="5" max="5" width="13.5703125" customWidth="1"/>
    <col min="6" max="6" width="17.28515625" customWidth="1"/>
    <col min="7" max="7" width="17.7109375" customWidth="1"/>
    <col min="8" max="8" width="13" customWidth="1"/>
    <col min="9" max="9" width="7.5703125" bestFit="1" customWidth="1"/>
    <col min="10" max="10" width="13.7109375" customWidth="1"/>
    <col min="11" max="11" width="13.140625" customWidth="1"/>
    <col min="12" max="12" width="19.28515625" bestFit="1" customWidth="1"/>
  </cols>
  <sheetData>
    <row r="1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>
      <c r="A2">
        <v>100027</v>
      </c>
      <c r="B2" t="s">
        <v>12</v>
      </c>
      <c r="C2" t="s">
        <v>13</v>
      </c>
      <c r="D2" t="s">
        <v>14</v>
      </c>
      <c r="E2" s="2">
        <v>9253</v>
      </c>
      <c r="F2">
        <v>119</v>
      </c>
      <c r="G2" t="s">
        <v>15</v>
      </c>
      <c r="H2" t="s">
        <v>16</v>
      </c>
      <c r="I2" t="s">
        <v>17</v>
      </c>
      <c r="J2">
        <v>7</v>
      </c>
      <c r="K2" t="s">
        <v>18</v>
      </c>
      <c r="L2" t="s">
        <v>19</v>
      </c>
    </row>
    <row r="3" spans="1:12">
      <c r="A3">
        <v>100025</v>
      </c>
      <c r="B3" t="s">
        <v>20</v>
      </c>
      <c r="C3" t="s">
        <v>21</v>
      </c>
      <c r="D3" t="s">
        <v>22</v>
      </c>
      <c r="E3" t="s">
        <v>23</v>
      </c>
      <c r="F3">
        <v>4</v>
      </c>
      <c r="G3" t="s">
        <v>24</v>
      </c>
      <c r="H3" t="s">
        <v>25</v>
      </c>
      <c r="I3" s="4" t="s">
        <v>26</v>
      </c>
      <c r="J3">
        <v>8</v>
      </c>
      <c r="K3" t="s">
        <v>27</v>
      </c>
      <c r="L3" t="s">
        <v>28</v>
      </c>
    </row>
    <row r="4" spans="1:12">
      <c r="A4">
        <v>100037</v>
      </c>
      <c r="B4" t="s">
        <v>29</v>
      </c>
      <c r="C4" t="s">
        <v>30</v>
      </c>
      <c r="D4" t="s">
        <v>31</v>
      </c>
      <c r="E4" t="s">
        <v>32</v>
      </c>
      <c r="F4">
        <v>43</v>
      </c>
      <c r="G4" t="s">
        <v>33</v>
      </c>
      <c r="H4" t="s">
        <v>34</v>
      </c>
      <c r="I4">
        <v>283.01</v>
      </c>
      <c r="J4">
        <v>6</v>
      </c>
      <c r="K4" t="s">
        <v>35</v>
      </c>
      <c r="L4" t="s">
        <v>36</v>
      </c>
    </row>
    <row r="5" spans="1:12">
      <c r="A5">
        <v>100028</v>
      </c>
      <c r="B5" t="s">
        <v>37</v>
      </c>
      <c r="C5" t="s">
        <v>38</v>
      </c>
      <c r="D5" t="s">
        <v>39</v>
      </c>
      <c r="E5" s="2">
        <v>9273</v>
      </c>
      <c r="F5">
        <v>44</v>
      </c>
      <c r="G5" t="s">
        <v>40</v>
      </c>
      <c r="H5" t="s">
        <v>25</v>
      </c>
      <c r="I5">
        <v>273.81</v>
      </c>
      <c r="J5">
        <v>2</v>
      </c>
      <c r="K5" t="s">
        <v>41</v>
      </c>
      <c r="L5" t="s">
        <v>42</v>
      </c>
    </row>
    <row r="6" spans="1:12">
      <c r="A6">
        <v>100023</v>
      </c>
      <c r="B6" t="s">
        <v>12</v>
      </c>
      <c r="C6" t="s">
        <v>43</v>
      </c>
      <c r="D6" t="s">
        <v>44</v>
      </c>
      <c r="E6" t="s">
        <v>45</v>
      </c>
      <c r="F6">
        <v>37</v>
      </c>
      <c r="G6" t="s">
        <v>46</v>
      </c>
      <c r="H6" t="s">
        <v>47</v>
      </c>
      <c r="I6" t="s">
        <v>48</v>
      </c>
      <c r="J6">
        <v>9</v>
      </c>
      <c r="K6" t="s">
        <v>49</v>
      </c>
      <c r="L6" t="s">
        <v>50</v>
      </c>
    </row>
    <row r="7" spans="1:12">
      <c r="A7">
        <v>100042</v>
      </c>
      <c r="B7" t="s">
        <v>37</v>
      </c>
      <c r="C7" t="s">
        <v>51</v>
      </c>
      <c r="D7" t="s">
        <v>52</v>
      </c>
      <c r="E7" t="s">
        <v>53</v>
      </c>
      <c r="F7">
        <v>84</v>
      </c>
      <c r="G7" t="s">
        <v>24</v>
      </c>
      <c r="H7" t="s">
        <v>47</v>
      </c>
      <c r="I7" t="s">
        <v>54</v>
      </c>
      <c r="J7">
        <v>9</v>
      </c>
      <c r="K7" t="s">
        <v>18</v>
      </c>
      <c r="L7" t="s">
        <v>42</v>
      </c>
    </row>
    <row r="8" spans="1:12">
      <c r="A8">
        <v>100039</v>
      </c>
      <c r="B8" t="s">
        <v>55</v>
      </c>
      <c r="C8" t="s">
        <v>56</v>
      </c>
      <c r="D8" t="s">
        <v>57</v>
      </c>
      <c r="E8" t="s">
        <v>58</v>
      </c>
      <c r="F8">
        <v>108</v>
      </c>
      <c r="G8" t="s">
        <v>40</v>
      </c>
      <c r="H8" t="s">
        <v>25</v>
      </c>
      <c r="I8">
        <v>306.24</v>
      </c>
      <c r="J8">
        <v>3</v>
      </c>
      <c r="K8" t="s">
        <v>59</v>
      </c>
      <c r="L8" t="s">
        <v>28</v>
      </c>
    </row>
    <row r="9" spans="1:12">
      <c r="A9">
        <v>100003</v>
      </c>
      <c r="B9" t="s">
        <v>12</v>
      </c>
      <c r="C9" t="s">
        <v>60</v>
      </c>
      <c r="D9" t="s">
        <v>61</v>
      </c>
      <c r="E9" s="2">
        <v>9194</v>
      </c>
      <c r="F9" t="s">
        <v>62</v>
      </c>
      <c r="G9" t="s">
        <v>63</v>
      </c>
      <c r="H9" t="s">
        <v>34</v>
      </c>
      <c r="I9">
        <v>158.83000000000001</v>
      </c>
      <c r="J9">
        <v>8</v>
      </c>
      <c r="K9" t="s">
        <v>41</v>
      </c>
      <c r="L9" t="s">
        <v>42</v>
      </c>
    </row>
    <row r="10" spans="1:12">
      <c r="A10">
        <v>100014</v>
      </c>
      <c r="B10" t="s">
        <v>20</v>
      </c>
      <c r="C10" t="s">
        <v>64</v>
      </c>
      <c r="D10" t="s">
        <v>65</v>
      </c>
      <c r="E10" t="s">
        <v>66</v>
      </c>
      <c r="F10">
        <v>113</v>
      </c>
      <c r="G10" t="s">
        <v>46</v>
      </c>
      <c r="H10" t="s">
        <v>47</v>
      </c>
      <c r="I10">
        <v>90.01</v>
      </c>
      <c r="J10">
        <v>2</v>
      </c>
      <c r="K10" t="s">
        <v>18</v>
      </c>
      <c r="L10" t="s">
        <v>67</v>
      </c>
    </row>
    <row r="11" spans="1:12">
      <c r="A11">
        <v>100007</v>
      </c>
      <c r="B11" t="s">
        <v>12</v>
      </c>
      <c r="C11" t="s">
        <v>68</v>
      </c>
      <c r="E11" s="2">
        <v>9223</v>
      </c>
      <c r="F11">
        <v>15</v>
      </c>
      <c r="G11" t="s">
        <v>69</v>
      </c>
      <c r="H11" t="s">
        <v>47</v>
      </c>
      <c r="I11">
        <v>122.26</v>
      </c>
      <c r="J11">
        <v>4</v>
      </c>
      <c r="K11" s="1">
        <v>0</v>
      </c>
      <c r="L11" t="s">
        <v>70</v>
      </c>
    </row>
    <row r="12" spans="1:12">
      <c r="A12">
        <v>100043</v>
      </c>
      <c r="B12" t="s">
        <v>20</v>
      </c>
      <c r="C12" t="s">
        <v>71</v>
      </c>
      <c r="D12" t="s">
        <v>72</v>
      </c>
      <c r="E12" t="s">
        <v>73</v>
      </c>
      <c r="F12">
        <v>-39</v>
      </c>
      <c r="G12" t="s">
        <v>74</v>
      </c>
      <c r="H12" t="s">
        <v>34</v>
      </c>
      <c r="I12" s="4"/>
      <c r="J12">
        <v>1</v>
      </c>
      <c r="K12" t="s">
        <v>41</v>
      </c>
      <c r="L12" t="s">
        <v>28</v>
      </c>
    </row>
    <row r="13" spans="1:12">
      <c r="A13">
        <v>100020</v>
      </c>
      <c r="B13" t="s">
        <v>75</v>
      </c>
      <c r="C13" t="s">
        <v>76</v>
      </c>
      <c r="D13" t="s">
        <v>52</v>
      </c>
      <c r="E13" t="s">
        <v>77</v>
      </c>
      <c r="F13">
        <v>60</v>
      </c>
      <c r="G13" t="s">
        <v>78</v>
      </c>
      <c r="H13" t="s">
        <v>25</v>
      </c>
      <c r="I13" s="4"/>
      <c r="J13">
        <v>9</v>
      </c>
      <c r="K13" t="s">
        <v>59</v>
      </c>
      <c r="L13" t="s">
        <v>79</v>
      </c>
    </row>
    <row r="14" spans="1:12">
      <c r="A14">
        <v>100041</v>
      </c>
      <c r="B14" t="s">
        <v>12</v>
      </c>
      <c r="C14" t="s">
        <v>80</v>
      </c>
      <c r="D14" t="s">
        <v>81</v>
      </c>
      <c r="E14" s="2">
        <v>9215</v>
      </c>
      <c r="F14" t="s">
        <v>62</v>
      </c>
      <c r="G14" t="s">
        <v>82</v>
      </c>
      <c r="H14" t="s">
        <v>25</v>
      </c>
      <c r="I14" s="4" t="s">
        <v>17</v>
      </c>
      <c r="J14">
        <v>3</v>
      </c>
      <c r="K14" t="s">
        <v>59</v>
      </c>
      <c r="L14" t="s">
        <v>83</v>
      </c>
    </row>
    <row r="15" spans="1:12">
      <c r="A15">
        <v>100002</v>
      </c>
      <c r="B15" t="s">
        <v>55</v>
      </c>
      <c r="C15" t="s">
        <v>80</v>
      </c>
      <c r="D15" t="s">
        <v>84</v>
      </c>
      <c r="E15" s="2">
        <v>9196</v>
      </c>
      <c r="F15">
        <v>28</v>
      </c>
      <c r="G15" t="s">
        <v>15</v>
      </c>
      <c r="H15" t="s">
        <v>34</v>
      </c>
      <c r="I15">
        <v>84.11</v>
      </c>
      <c r="J15">
        <v>2</v>
      </c>
      <c r="K15" s="1">
        <v>0</v>
      </c>
      <c r="L15" t="s">
        <v>170</v>
      </c>
    </row>
    <row r="16" spans="1:12">
      <c r="A16" s="3">
        <v>100034</v>
      </c>
      <c r="B16" t="s">
        <v>20</v>
      </c>
      <c r="C16" t="s">
        <v>86</v>
      </c>
      <c r="D16" t="s">
        <v>87</v>
      </c>
      <c r="E16" s="2">
        <v>9213</v>
      </c>
      <c r="F16">
        <v>11</v>
      </c>
      <c r="G16" t="s">
        <v>46</v>
      </c>
      <c r="H16" t="s">
        <v>88</v>
      </c>
      <c r="I16">
        <v>105.19</v>
      </c>
      <c r="J16">
        <v>2</v>
      </c>
      <c r="K16" t="s">
        <v>49</v>
      </c>
      <c r="L16" t="s">
        <v>36</v>
      </c>
    </row>
    <row r="17" spans="1:12">
      <c r="A17">
        <v>100029</v>
      </c>
      <c r="B17" t="s">
        <v>29</v>
      </c>
      <c r="C17" t="s">
        <v>89</v>
      </c>
      <c r="D17" t="s">
        <v>90</v>
      </c>
      <c r="E17" t="s">
        <v>91</v>
      </c>
      <c r="F17">
        <v>113</v>
      </c>
      <c r="G17" t="s">
        <v>92</v>
      </c>
      <c r="H17" t="s">
        <v>88</v>
      </c>
      <c r="I17">
        <v>255.12</v>
      </c>
      <c r="J17">
        <v>10</v>
      </c>
      <c r="K17" t="s">
        <v>35</v>
      </c>
      <c r="L17" t="s">
        <v>93</v>
      </c>
    </row>
    <row r="18" spans="1:12">
      <c r="A18" s="3">
        <v>100026</v>
      </c>
      <c r="B18" t="s">
        <v>12</v>
      </c>
      <c r="C18" t="s">
        <v>94</v>
      </c>
      <c r="D18" t="s">
        <v>95</v>
      </c>
      <c r="E18" t="s">
        <v>96</v>
      </c>
      <c r="F18">
        <v>100</v>
      </c>
      <c r="G18" t="s">
        <v>24</v>
      </c>
      <c r="H18" t="s">
        <v>34</v>
      </c>
      <c r="I18" t="s">
        <v>97</v>
      </c>
      <c r="J18">
        <v>4</v>
      </c>
      <c r="K18" t="s">
        <v>18</v>
      </c>
      <c r="L18" t="s">
        <v>98</v>
      </c>
    </row>
    <row r="19" spans="1:12">
      <c r="A19" s="3">
        <v>100034</v>
      </c>
      <c r="B19" t="s">
        <v>20</v>
      </c>
      <c r="C19" t="s">
        <v>86</v>
      </c>
      <c r="D19" t="s">
        <v>87</v>
      </c>
      <c r="E19" s="2">
        <v>9213</v>
      </c>
      <c r="F19">
        <v>11</v>
      </c>
      <c r="G19" t="s">
        <v>46</v>
      </c>
      <c r="H19" t="s">
        <v>88</v>
      </c>
      <c r="I19">
        <v>105.19</v>
      </c>
      <c r="J19">
        <v>2</v>
      </c>
      <c r="K19" t="s">
        <v>49</v>
      </c>
      <c r="L19" t="s">
        <v>36</v>
      </c>
    </row>
    <row r="20" spans="1:12">
      <c r="A20">
        <v>100035</v>
      </c>
      <c r="B20" t="s">
        <v>55</v>
      </c>
      <c r="C20" t="s">
        <v>80</v>
      </c>
      <c r="D20" t="s">
        <v>39</v>
      </c>
      <c r="E20" t="s">
        <v>99</v>
      </c>
      <c r="F20">
        <v>83</v>
      </c>
      <c r="G20" t="s">
        <v>46</v>
      </c>
      <c r="H20" t="s">
        <v>47</v>
      </c>
      <c r="I20" t="s">
        <v>100</v>
      </c>
      <c r="J20">
        <v>2</v>
      </c>
      <c r="K20" t="s">
        <v>101</v>
      </c>
      <c r="L20" t="s">
        <v>102</v>
      </c>
    </row>
    <row r="21" spans="1:12">
      <c r="A21">
        <v>100016</v>
      </c>
      <c r="B21" t="s">
        <v>103</v>
      </c>
      <c r="C21" t="s">
        <v>94</v>
      </c>
      <c r="D21" t="s">
        <v>61</v>
      </c>
      <c r="E21" t="s">
        <v>104</v>
      </c>
      <c r="F21">
        <v>86</v>
      </c>
      <c r="G21" t="s">
        <v>105</v>
      </c>
      <c r="H21" t="s">
        <v>47</v>
      </c>
      <c r="I21">
        <v>262.83</v>
      </c>
      <c r="J21">
        <v>7</v>
      </c>
      <c r="K21" t="s">
        <v>41</v>
      </c>
      <c r="L21" t="s">
        <v>50</v>
      </c>
    </row>
    <row r="22" spans="1:12">
      <c r="A22">
        <v>100033</v>
      </c>
      <c r="B22" t="s">
        <v>55</v>
      </c>
      <c r="C22" t="s">
        <v>106</v>
      </c>
      <c r="D22" t="s">
        <v>107</v>
      </c>
      <c r="E22" t="s">
        <v>108</v>
      </c>
      <c r="F22">
        <v>104</v>
      </c>
      <c r="G22" t="s">
        <v>109</v>
      </c>
      <c r="H22" t="s">
        <v>47</v>
      </c>
      <c r="I22">
        <v>82.15</v>
      </c>
      <c r="J22">
        <v>4</v>
      </c>
      <c r="K22" t="s">
        <v>49</v>
      </c>
      <c r="L22" t="s">
        <v>93</v>
      </c>
    </row>
    <row r="23" spans="1:12">
      <c r="A23" s="3">
        <v>100004</v>
      </c>
      <c r="B23" t="s">
        <v>103</v>
      </c>
      <c r="C23" t="s">
        <v>89</v>
      </c>
      <c r="D23" t="s">
        <v>110</v>
      </c>
      <c r="E23" s="2">
        <v>9190</v>
      </c>
      <c r="F23">
        <v>5</v>
      </c>
      <c r="G23" t="s">
        <v>33</v>
      </c>
      <c r="H23" t="s">
        <v>25</v>
      </c>
      <c r="I23" t="s">
        <v>111</v>
      </c>
      <c r="J23">
        <v>4</v>
      </c>
      <c r="K23" s="1">
        <v>0</v>
      </c>
      <c r="L23" t="s">
        <v>98</v>
      </c>
    </row>
    <row r="24" spans="1:12">
      <c r="A24" s="3">
        <v>100011</v>
      </c>
      <c r="B24" t="s">
        <v>75</v>
      </c>
      <c r="C24" t="s">
        <v>112</v>
      </c>
      <c r="D24" t="s">
        <v>113</v>
      </c>
      <c r="E24" t="s">
        <v>114</v>
      </c>
      <c r="F24">
        <v>49</v>
      </c>
      <c r="G24" t="s">
        <v>105</v>
      </c>
      <c r="H24" t="s">
        <v>25</v>
      </c>
      <c r="I24" s="4"/>
      <c r="J24">
        <v>8</v>
      </c>
      <c r="K24" t="s">
        <v>41</v>
      </c>
      <c r="L24" t="s">
        <v>115</v>
      </c>
    </row>
    <row r="25" spans="1:12">
      <c r="A25">
        <v>100021</v>
      </c>
      <c r="B25" t="s">
        <v>12</v>
      </c>
      <c r="C25" t="s">
        <v>116</v>
      </c>
      <c r="D25" t="s">
        <v>22</v>
      </c>
      <c r="E25" s="2">
        <v>9147</v>
      </c>
      <c r="F25">
        <v>54</v>
      </c>
      <c r="G25" t="s">
        <v>117</v>
      </c>
      <c r="H25" t="s">
        <v>88</v>
      </c>
      <c r="I25">
        <v>246.77</v>
      </c>
      <c r="J25">
        <v>7</v>
      </c>
      <c r="K25" t="s">
        <v>41</v>
      </c>
      <c r="L25" t="s">
        <v>79</v>
      </c>
    </row>
    <row r="26" spans="1:12">
      <c r="A26">
        <v>100013</v>
      </c>
      <c r="B26" t="s">
        <v>55</v>
      </c>
      <c r="C26" t="s">
        <v>118</v>
      </c>
      <c r="D26" t="s">
        <v>119</v>
      </c>
      <c r="E26" t="s">
        <v>120</v>
      </c>
      <c r="F26">
        <v>120</v>
      </c>
      <c r="G26" t="s">
        <v>40</v>
      </c>
      <c r="H26" t="s">
        <v>34</v>
      </c>
      <c r="I26">
        <v>179.15</v>
      </c>
      <c r="J26">
        <v>10</v>
      </c>
      <c r="K26" s="1">
        <v>0</v>
      </c>
      <c r="L26" t="s">
        <v>70</v>
      </c>
    </row>
    <row r="27" spans="1:12">
      <c r="A27" s="3">
        <v>100004</v>
      </c>
      <c r="B27" t="s">
        <v>103</v>
      </c>
      <c r="C27" t="s">
        <v>89</v>
      </c>
      <c r="D27" t="s">
        <v>110</v>
      </c>
      <c r="E27" s="2">
        <v>9190</v>
      </c>
      <c r="F27">
        <v>5</v>
      </c>
      <c r="G27" t="s">
        <v>33</v>
      </c>
      <c r="H27" t="s">
        <v>25</v>
      </c>
      <c r="I27" t="s">
        <v>111</v>
      </c>
      <c r="J27">
        <v>4</v>
      </c>
      <c r="K27" s="1">
        <v>0</v>
      </c>
      <c r="L27" t="s">
        <v>98</v>
      </c>
    </row>
    <row r="28" spans="1:12">
      <c r="A28">
        <v>100009</v>
      </c>
      <c r="B28" t="s">
        <v>103</v>
      </c>
      <c r="C28" t="s">
        <v>51</v>
      </c>
      <c r="D28" t="s">
        <v>14</v>
      </c>
      <c r="E28" t="s">
        <v>99</v>
      </c>
      <c r="F28">
        <v>36</v>
      </c>
      <c r="G28" t="s">
        <v>92</v>
      </c>
      <c r="H28" t="s">
        <v>88</v>
      </c>
      <c r="I28">
        <v>200.2</v>
      </c>
      <c r="J28">
        <v>10</v>
      </c>
      <c r="K28" t="s">
        <v>18</v>
      </c>
      <c r="L28" t="s">
        <v>79</v>
      </c>
    </row>
    <row r="29" spans="1:12">
      <c r="A29">
        <v>100032</v>
      </c>
      <c r="B29" t="s">
        <v>12</v>
      </c>
      <c r="C29" t="s">
        <v>121</v>
      </c>
      <c r="D29" t="s">
        <v>122</v>
      </c>
      <c r="E29" t="s">
        <v>123</v>
      </c>
      <c r="F29">
        <v>7</v>
      </c>
      <c r="G29" t="s">
        <v>124</v>
      </c>
      <c r="H29" t="s">
        <v>47</v>
      </c>
      <c r="I29">
        <v>241.33</v>
      </c>
      <c r="J29">
        <v>3</v>
      </c>
      <c r="K29" t="s">
        <v>18</v>
      </c>
      <c r="L29" t="s">
        <v>125</v>
      </c>
    </row>
    <row r="30" spans="1:12">
      <c r="A30">
        <v>100038</v>
      </c>
      <c r="B30" t="s">
        <v>12</v>
      </c>
      <c r="C30" t="s">
        <v>64</v>
      </c>
      <c r="D30" t="s">
        <v>119</v>
      </c>
      <c r="E30" s="2">
        <v>9224</v>
      </c>
      <c r="F30">
        <v>-25</v>
      </c>
      <c r="G30" t="s">
        <v>109</v>
      </c>
      <c r="H30" t="s">
        <v>47</v>
      </c>
      <c r="I30">
        <v>221.88</v>
      </c>
      <c r="J30">
        <v>8</v>
      </c>
      <c r="K30" t="s">
        <v>59</v>
      </c>
      <c r="L30" t="s">
        <v>126</v>
      </c>
    </row>
    <row r="31" spans="1:12">
      <c r="A31">
        <v>100046</v>
      </c>
      <c r="B31" t="s">
        <v>12</v>
      </c>
      <c r="C31" t="s">
        <v>68</v>
      </c>
      <c r="D31" t="s">
        <v>127</v>
      </c>
      <c r="E31" t="s">
        <v>128</v>
      </c>
      <c r="F31">
        <v>93</v>
      </c>
      <c r="G31" t="s">
        <v>129</v>
      </c>
      <c r="H31" t="s">
        <v>34</v>
      </c>
      <c r="I31">
        <v>294.88</v>
      </c>
      <c r="J31">
        <v>1</v>
      </c>
      <c r="K31" s="1">
        <v>0</v>
      </c>
      <c r="L31" t="s">
        <v>130</v>
      </c>
    </row>
    <row r="32" spans="1:12">
      <c r="A32">
        <v>100012</v>
      </c>
      <c r="B32" t="s">
        <v>12</v>
      </c>
      <c r="C32" t="s">
        <v>131</v>
      </c>
      <c r="D32" t="s">
        <v>132</v>
      </c>
      <c r="E32" t="s">
        <v>133</v>
      </c>
      <c r="F32">
        <v>24</v>
      </c>
      <c r="G32" t="s">
        <v>24</v>
      </c>
      <c r="H32" t="s">
        <v>16</v>
      </c>
      <c r="I32" t="s">
        <v>134</v>
      </c>
      <c r="J32">
        <v>4</v>
      </c>
      <c r="K32" t="s">
        <v>59</v>
      </c>
      <c r="L32" t="s">
        <v>135</v>
      </c>
    </row>
    <row r="33" spans="1:12">
      <c r="A33">
        <v>100044</v>
      </c>
      <c r="B33" t="s">
        <v>12</v>
      </c>
      <c r="C33" t="s">
        <v>136</v>
      </c>
      <c r="D33" t="s">
        <v>31</v>
      </c>
      <c r="E33" t="s">
        <v>137</v>
      </c>
      <c r="F33">
        <v>59</v>
      </c>
      <c r="G33" t="s">
        <v>33</v>
      </c>
      <c r="H33" t="s">
        <v>34</v>
      </c>
      <c r="I33">
        <v>293.72000000000003</v>
      </c>
      <c r="J33">
        <v>8</v>
      </c>
      <c r="K33" t="s">
        <v>41</v>
      </c>
      <c r="L33" t="s">
        <v>98</v>
      </c>
    </row>
    <row r="34" spans="1:12">
      <c r="A34">
        <v>100045</v>
      </c>
      <c r="B34" t="s">
        <v>103</v>
      </c>
      <c r="C34" t="s">
        <v>138</v>
      </c>
      <c r="D34" t="s">
        <v>57</v>
      </c>
      <c r="E34" s="2">
        <v>9264</v>
      </c>
      <c r="F34">
        <v>74</v>
      </c>
      <c r="G34" t="s">
        <v>139</v>
      </c>
      <c r="H34" t="s">
        <v>47</v>
      </c>
      <c r="I34">
        <v>65.7</v>
      </c>
      <c r="J34">
        <v>7</v>
      </c>
      <c r="K34" s="1">
        <v>1</v>
      </c>
      <c r="L34" t="s">
        <v>140</v>
      </c>
    </row>
    <row r="35" spans="1:12">
      <c r="A35" s="3">
        <v>100019</v>
      </c>
      <c r="B35" t="s">
        <v>55</v>
      </c>
      <c r="C35" t="s">
        <v>141</v>
      </c>
      <c r="D35" t="s">
        <v>142</v>
      </c>
      <c r="E35" s="2">
        <v>9213</v>
      </c>
      <c r="F35">
        <v>-109</v>
      </c>
      <c r="G35" t="s">
        <v>74</v>
      </c>
      <c r="H35" t="s">
        <v>47</v>
      </c>
      <c r="I35">
        <v>191.85</v>
      </c>
      <c r="J35">
        <v>7</v>
      </c>
      <c r="K35" s="1">
        <v>0</v>
      </c>
      <c r="L35" t="s">
        <v>42</v>
      </c>
    </row>
    <row r="36" spans="1:12">
      <c r="A36">
        <v>100001</v>
      </c>
      <c r="B36" t="s">
        <v>12</v>
      </c>
      <c r="C36" t="s">
        <v>143</v>
      </c>
      <c r="E36" t="s">
        <v>144</v>
      </c>
      <c r="F36">
        <v>18</v>
      </c>
      <c r="G36" t="s">
        <v>74</v>
      </c>
      <c r="H36" t="s">
        <v>16</v>
      </c>
      <c r="I36" t="s">
        <v>145</v>
      </c>
      <c r="J36">
        <v>7</v>
      </c>
      <c r="K36" t="s">
        <v>27</v>
      </c>
      <c r="L36" t="s">
        <v>146</v>
      </c>
    </row>
    <row r="37" spans="1:12">
      <c r="A37">
        <v>100040</v>
      </c>
      <c r="B37" t="s">
        <v>75</v>
      </c>
      <c r="C37" t="s">
        <v>147</v>
      </c>
      <c r="D37" t="s">
        <v>148</v>
      </c>
      <c r="E37" s="2">
        <v>9261</v>
      </c>
      <c r="F37">
        <v>106</v>
      </c>
      <c r="G37" t="s">
        <v>24</v>
      </c>
      <c r="H37" t="s">
        <v>47</v>
      </c>
      <c r="I37">
        <v>248.77</v>
      </c>
      <c r="J37">
        <v>10</v>
      </c>
      <c r="K37" t="s">
        <v>59</v>
      </c>
      <c r="L37" t="s">
        <v>130</v>
      </c>
    </row>
    <row r="38" spans="1:12">
      <c r="A38">
        <v>100006</v>
      </c>
      <c r="B38" t="s">
        <v>103</v>
      </c>
      <c r="C38" t="s">
        <v>149</v>
      </c>
      <c r="D38" t="s">
        <v>65</v>
      </c>
      <c r="E38" t="s">
        <v>150</v>
      </c>
      <c r="F38">
        <v>15</v>
      </c>
      <c r="G38" t="s">
        <v>15</v>
      </c>
      <c r="H38" t="s">
        <v>25</v>
      </c>
      <c r="I38" t="s">
        <v>151</v>
      </c>
      <c r="J38">
        <v>1</v>
      </c>
      <c r="K38" t="s">
        <v>59</v>
      </c>
      <c r="L38" t="s">
        <v>85</v>
      </c>
    </row>
    <row r="39" spans="1:12">
      <c r="A39">
        <v>100024</v>
      </c>
      <c r="B39" t="s">
        <v>103</v>
      </c>
      <c r="C39" t="s">
        <v>106</v>
      </c>
      <c r="D39" t="s">
        <v>152</v>
      </c>
      <c r="E39" t="s">
        <v>153</v>
      </c>
      <c r="F39">
        <v>46</v>
      </c>
      <c r="G39" t="s">
        <v>139</v>
      </c>
      <c r="H39" t="s">
        <v>25</v>
      </c>
      <c r="I39">
        <v>281.89999999999998</v>
      </c>
      <c r="J39">
        <v>7</v>
      </c>
      <c r="K39" t="s">
        <v>41</v>
      </c>
      <c r="L39" t="s">
        <v>98</v>
      </c>
    </row>
    <row r="40" spans="1:12">
      <c r="A40">
        <v>100036</v>
      </c>
      <c r="B40" t="s">
        <v>103</v>
      </c>
      <c r="C40" t="s">
        <v>80</v>
      </c>
      <c r="D40" t="s">
        <v>154</v>
      </c>
      <c r="E40" s="2">
        <v>9261</v>
      </c>
      <c r="F40">
        <v>4</v>
      </c>
      <c r="G40" t="s">
        <v>24</v>
      </c>
      <c r="H40" t="s">
        <v>88</v>
      </c>
      <c r="I40">
        <v>310.10000000000002</v>
      </c>
      <c r="J40">
        <v>10</v>
      </c>
      <c r="K40" t="s">
        <v>35</v>
      </c>
      <c r="L40" t="s">
        <v>126</v>
      </c>
    </row>
    <row r="41" spans="1:12">
      <c r="A41" s="3">
        <v>100026</v>
      </c>
      <c r="B41" t="s">
        <v>12</v>
      </c>
      <c r="C41" t="s">
        <v>94</v>
      </c>
      <c r="D41" t="s">
        <v>95</v>
      </c>
      <c r="E41" t="s">
        <v>96</v>
      </c>
      <c r="F41">
        <v>100</v>
      </c>
      <c r="G41" t="s">
        <v>24</v>
      </c>
      <c r="H41" t="s">
        <v>34</v>
      </c>
      <c r="I41" t="s">
        <v>97</v>
      </c>
      <c r="J41">
        <v>4</v>
      </c>
      <c r="K41" t="s">
        <v>18</v>
      </c>
      <c r="L41" t="s">
        <v>98</v>
      </c>
    </row>
    <row r="42" spans="1:12">
      <c r="A42">
        <v>100015</v>
      </c>
      <c r="B42" t="s">
        <v>155</v>
      </c>
      <c r="C42" t="s">
        <v>156</v>
      </c>
      <c r="D42" t="s">
        <v>157</v>
      </c>
      <c r="E42" t="s">
        <v>158</v>
      </c>
      <c r="F42">
        <v>17</v>
      </c>
      <c r="G42" t="s">
        <v>15</v>
      </c>
      <c r="H42" t="s">
        <v>88</v>
      </c>
      <c r="I42" s="4" t="s">
        <v>17</v>
      </c>
      <c r="J42">
        <v>9</v>
      </c>
      <c r="K42" s="1">
        <v>0</v>
      </c>
      <c r="L42" t="s">
        <v>135</v>
      </c>
    </row>
    <row r="43" spans="1:12">
      <c r="A43">
        <v>100010</v>
      </c>
      <c r="B43" t="s">
        <v>29</v>
      </c>
      <c r="C43" t="s">
        <v>159</v>
      </c>
      <c r="D43" t="s">
        <v>87</v>
      </c>
      <c r="E43" s="2">
        <v>9170</v>
      </c>
      <c r="F43">
        <v>69</v>
      </c>
      <c r="G43" t="s">
        <v>82</v>
      </c>
      <c r="H43" t="s">
        <v>88</v>
      </c>
      <c r="I43">
        <v>169.69</v>
      </c>
      <c r="J43">
        <v>5</v>
      </c>
      <c r="K43" t="s">
        <v>59</v>
      </c>
      <c r="L43" t="s">
        <v>126</v>
      </c>
    </row>
    <row r="44" spans="1:12">
      <c r="A44">
        <v>100005</v>
      </c>
      <c r="B44" t="s">
        <v>37</v>
      </c>
      <c r="C44" t="s">
        <v>106</v>
      </c>
      <c r="D44" t="s">
        <v>113</v>
      </c>
      <c r="E44" t="s">
        <v>160</v>
      </c>
      <c r="F44">
        <v>18</v>
      </c>
      <c r="G44" t="s">
        <v>161</v>
      </c>
      <c r="H44" t="s">
        <v>25</v>
      </c>
      <c r="I44">
        <v>83.64</v>
      </c>
      <c r="J44">
        <v>1</v>
      </c>
      <c r="K44" t="s">
        <v>18</v>
      </c>
      <c r="L44" t="s">
        <v>50</v>
      </c>
    </row>
    <row r="45" spans="1:12">
      <c r="A45">
        <v>100030</v>
      </c>
      <c r="B45" t="s">
        <v>12</v>
      </c>
      <c r="C45" t="s">
        <v>162</v>
      </c>
      <c r="D45" t="s">
        <v>90</v>
      </c>
      <c r="E45" t="s">
        <v>163</v>
      </c>
      <c r="F45">
        <v>63</v>
      </c>
      <c r="G45" t="s">
        <v>161</v>
      </c>
      <c r="H45" t="s">
        <v>88</v>
      </c>
      <c r="I45">
        <v>239.56</v>
      </c>
      <c r="J45">
        <v>8</v>
      </c>
      <c r="K45" s="1">
        <v>0</v>
      </c>
      <c r="L45" t="s">
        <v>126</v>
      </c>
    </row>
    <row r="46" spans="1:12">
      <c r="A46">
        <v>100008</v>
      </c>
      <c r="B46" t="s">
        <v>29</v>
      </c>
      <c r="C46" t="s">
        <v>164</v>
      </c>
      <c r="E46" t="s">
        <v>165</v>
      </c>
      <c r="F46">
        <v>26</v>
      </c>
      <c r="G46" t="s">
        <v>15</v>
      </c>
      <c r="H46" t="s">
        <v>25</v>
      </c>
      <c r="I46" s="4" t="s">
        <v>17</v>
      </c>
      <c r="J46">
        <v>6</v>
      </c>
      <c r="K46" t="s">
        <v>18</v>
      </c>
      <c r="L46" t="s">
        <v>140</v>
      </c>
    </row>
    <row r="47" spans="1:12">
      <c r="A47">
        <v>100022</v>
      </c>
      <c r="B47" t="s">
        <v>20</v>
      </c>
      <c r="C47" t="s">
        <v>159</v>
      </c>
      <c r="D47" t="s">
        <v>44</v>
      </c>
      <c r="E47" s="2">
        <v>9189</v>
      </c>
      <c r="F47">
        <v>60</v>
      </c>
      <c r="G47" t="s">
        <v>109</v>
      </c>
      <c r="H47" t="s">
        <v>16</v>
      </c>
      <c r="I47">
        <v>214.82</v>
      </c>
      <c r="J47">
        <v>8</v>
      </c>
      <c r="K47" t="s">
        <v>35</v>
      </c>
      <c r="L47" t="s">
        <v>135</v>
      </c>
    </row>
    <row r="48" spans="1:12">
      <c r="A48" s="3">
        <v>100019</v>
      </c>
      <c r="B48" t="s">
        <v>55</v>
      </c>
      <c r="C48" t="s">
        <v>141</v>
      </c>
      <c r="D48" t="s">
        <v>142</v>
      </c>
      <c r="E48" s="2">
        <v>9213</v>
      </c>
      <c r="F48">
        <v>-109</v>
      </c>
      <c r="G48" t="s">
        <v>74</v>
      </c>
      <c r="H48" t="s">
        <v>47</v>
      </c>
      <c r="I48">
        <v>191.85</v>
      </c>
      <c r="J48">
        <v>7</v>
      </c>
      <c r="K48" s="1">
        <v>0</v>
      </c>
      <c r="L48" t="s">
        <v>42</v>
      </c>
    </row>
    <row r="49" spans="1:12">
      <c r="A49">
        <v>100031</v>
      </c>
      <c r="B49" t="s">
        <v>155</v>
      </c>
      <c r="C49" t="s">
        <v>43</v>
      </c>
      <c r="D49" t="s">
        <v>166</v>
      </c>
      <c r="E49" s="2">
        <v>9199</v>
      </c>
      <c r="F49">
        <v>16</v>
      </c>
      <c r="G49" t="s">
        <v>167</v>
      </c>
      <c r="H49" t="s">
        <v>47</v>
      </c>
      <c r="I49">
        <v>91.08</v>
      </c>
      <c r="J49">
        <v>9</v>
      </c>
      <c r="K49" s="1">
        <v>0</v>
      </c>
      <c r="L49" t="s">
        <v>79</v>
      </c>
    </row>
    <row r="50" spans="1:12">
      <c r="A50">
        <v>100017</v>
      </c>
      <c r="B50" t="s">
        <v>12</v>
      </c>
      <c r="C50" t="s">
        <v>43</v>
      </c>
      <c r="D50" t="s">
        <v>122</v>
      </c>
      <c r="E50" t="s">
        <v>168</v>
      </c>
      <c r="F50">
        <v>49</v>
      </c>
      <c r="G50" t="s">
        <v>40</v>
      </c>
      <c r="H50" t="s">
        <v>25</v>
      </c>
      <c r="I50">
        <v>117.83</v>
      </c>
      <c r="J50">
        <v>8</v>
      </c>
      <c r="K50" t="s">
        <v>35</v>
      </c>
      <c r="L50" t="s">
        <v>19</v>
      </c>
    </row>
    <row r="51" spans="1:12">
      <c r="A51" s="3">
        <v>100011</v>
      </c>
      <c r="B51" t="s">
        <v>75</v>
      </c>
      <c r="C51" t="s">
        <v>112</v>
      </c>
      <c r="D51" t="s">
        <v>113</v>
      </c>
      <c r="E51" t="s">
        <v>114</v>
      </c>
      <c r="F51">
        <v>49</v>
      </c>
      <c r="G51" t="s">
        <v>105</v>
      </c>
      <c r="H51" t="s">
        <v>25</v>
      </c>
      <c r="I51" s="4"/>
      <c r="J51">
        <v>8</v>
      </c>
      <c r="K51" t="s">
        <v>41</v>
      </c>
      <c r="L51" t="s">
        <v>115</v>
      </c>
    </row>
    <row r="52" spans="1:12">
      <c r="A52">
        <v>100018</v>
      </c>
      <c r="B52" t="s">
        <v>20</v>
      </c>
      <c r="C52" t="s">
        <v>159</v>
      </c>
      <c r="D52" t="s">
        <v>127</v>
      </c>
      <c r="E52" t="s">
        <v>169</v>
      </c>
      <c r="F52" t="s">
        <v>62</v>
      </c>
      <c r="G52" t="s">
        <v>40</v>
      </c>
      <c r="H52" t="s">
        <v>34</v>
      </c>
      <c r="I52">
        <v>215.11</v>
      </c>
      <c r="J52">
        <v>6</v>
      </c>
      <c r="K52" t="s">
        <v>59</v>
      </c>
      <c r="L52" t="s">
        <v>42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J52"/>
  <sheetViews>
    <sheetView tabSelected="1" workbookViewId="0">
      <selection activeCell="B9" sqref="B9"/>
    </sheetView>
  </sheetViews>
  <sheetFormatPr defaultRowHeight="15"/>
  <cols>
    <col min="1" max="1" width="15" bestFit="1" customWidth="1"/>
    <col min="2" max="2" width="12" bestFit="1" customWidth="1"/>
    <col min="3" max="3" width="20.5703125" bestFit="1" customWidth="1"/>
    <col min="4" max="4" width="15.42578125" bestFit="1" customWidth="1"/>
    <col min="5" max="5" width="16" bestFit="1" customWidth="1"/>
    <col min="6" max="6" width="20.5703125" bestFit="1" customWidth="1"/>
    <col min="7" max="7" width="20.42578125" bestFit="1" customWidth="1"/>
    <col min="8" max="8" width="14.7109375" bestFit="1" customWidth="1"/>
    <col min="9" max="9" width="15.5703125" bestFit="1" customWidth="1"/>
    <col min="10" max="10" width="19.28515625" bestFit="1" customWidth="1"/>
    <col min="11" max="11" width="15.5703125" bestFit="1" customWidth="1"/>
    <col min="12" max="12" width="20.5703125" bestFit="1" customWidth="1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8</v>
      </c>
      <c r="I1" s="5" t="s">
        <v>10</v>
      </c>
      <c r="J1" s="7" t="s">
        <v>171</v>
      </c>
    </row>
    <row r="2" spans="1:10">
      <c r="A2">
        <f>Raw_Data!A2</f>
        <v>100027</v>
      </c>
      <c r="B2" t="str">
        <f>PROPER(TRIM(Raw_Data!B2))</f>
        <v>Resort Hotel</v>
      </c>
      <c r="C2" t="str">
        <f>PROPER(TRIM(Raw_Data!C2))</f>
        <v>Lucas Garcia</v>
      </c>
      <c r="D2" t="str">
        <f>IF(TRIM(Raw_Data!D2)="","Unknown",PROPER(TRIM(Raw_Data!D2)))</f>
        <v>United Kingdom</v>
      </c>
      <c r="E2" s="2">
        <f>IFERROR(DATEVALUE(Raw_Data!E2),IFERROR(DATE(VALUE(RIGHT(Raw_Data!E2,4)),VALUE(LEFT(Raw_Data!E2,2)),VALUE(MID(Raw_Data!E2,4,2))),"Check Format"))</f>
        <v>2688402</v>
      </c>
      <c r="F2">
        <f>IF(ISNUMBER(Raw_Data!F2),IF(Raw_Data!F2&lt;0,"Invalid (negative)",Raw_Data!F2),"Invalid (non-numeric)")</f>
        <v>119</v>
      </c>
      <c r="G2" t="str">
        <f>PROPER(TRIM(Raw_Data!G2))</f>
        <v>Direct</v>
      </c>
      <c r="H2" t="str">
        <f>IFERROR(VALUE(SUBSTITUTE(SUBSTITUTE(Raw_Data!I2,"$",""),",","")),"Missing/Invalid")</f>
        <v>Missing/Invalid</v>
      </c>
      <c r="I2" t="str">
        <f>IF(OR(UPPER(TRIM(Raw_Data!K2))="YES",UPPER(TRIM(Raw_Data!K2))="TRUE",TRIM(Raw_Data!K2)="1"),"Yes","No")</f>
        <v>No</v>
      </c>
      <c r="J2" s="6" t="str">
        <f>IF(COUNTIF($A$2:A2,A2)&gt;1,"Duplicate - Remove","Unique")</f>
        <v>Unique</v>
      </c>
    </row>
    <row r="3" spans="1:10">
      <c r="A3">
        <f>Raw_Data!A3</f>
        <v>100025</v>
      </c>
      <c r="B3" t="str">
        <f>PROPER(TRIM(Raw_Data!B3))</f>
        <v>Resort Hotel</v>
      </c>
      <c r="C3" t="str">
        <f>PROPER(TRIM(Raw_Data!C3))</f>
        <v>Ava Martinez</v>
      </c>
      <c r="D3" t="str">
        <f>IF(TRIM(Raw_Data!D3)="","Unknown",PROPER(TRIM(Raw_Data!D3)))</f>
        <v>Usa</v>
      </c>
      <c r="E3" s="2">
        <f>IFERROR(DATEVALUE(Raw_Data!E3),IFERROR(DATE(VALUE(RIGHT(Raw_Data!E3,4)),VALUE(LEFT(Raw_Data!E3,2)),VALUE(MID(Raw_Data!E3,4,2))),"Check Format"))</f>
        <v>45799</v>
      </c>
      <c r="F3">
        <f>IF(ISNUMBER(Raw_Data!F3),IF(Raw_Data!F3&lt;0,"Invalid (negative)",Raw_Data!F3),"Invalid (non-numeric)")</f>
        <v>4</v>
      </c>
      <c r="G3" t="str">
        <f>PROPER(TRIM(Raw_Data!G3))</f>
        <v>Online Ta</v>
      </c>
      <c r="H3">
        <f>IFERROR(VALUE(SUBSTITUTE(SUBSTITUTE(Raw_Data!I3,"$",""),",","")),"Missing/Invalid")</f>
        <v>95.28</v>
      </c>
      <c r="I3" t="str">
        <f>IF(OR(UPPER(TRIM(Raw_Data!K3))="YES",UPPER(TRIM(Raw_Data!K3))="TRUE",TRIM(Raw_Data!K3)="1"),"Yes","No")</f>
        <v>Yes</v>
      </c>
      <c r="J3" s="6" t="str">
        <f>IF(COUNTIF($A$2:A3,A3)&gt;1,"Duplicate - Remove","Unique")</f>
        <v>Unique</v>
      </c>
    </row>
    <row r="4" spans="1:10">
      <c r="A4">
        <f>Raw_Data!A4</f>
        <v>100037</v>
      </c>
      <c r="B4" t="str">
        <f>PROPER(TRIM(Raw_Data!B4))</f>
        <v>City Hotel</v>
      </c>
      <c r="C4" t="str">
        <f>PROPER(TRIM(Raw_Data!C4))</f>
        <v>Anna Muller</v>
      </c>
      <c r="D4" t="str">
        <f>IF(TRIM(Raw_Data!D4)="","Unknown",PROPER(TRIM(Raw_Data!D4)))</f>
        <v>Brazil</v>
      </c>
      <c r="E4" s="2">
        <f>IFERROR(DATEVALUE(Raw_Data!E4),IFERROR(DATE(VALUE(RIGHT(Raw_Data!E4,4)),VALUE(LEFT(Raw_Data!E4,2)),VALUE(MID(Raw_Data!E4,4,2))),"Check Format"))</f>
        <v>45730</v>
      </c>
      <c r="F4">
        <f>IF(ISNUMBER(Raw_Data!F4),IF(Raw_Data!F4&lt;0,"Invalid (negative)",Raw_Data!F4),"Invalid (non-numeric)")</f>
        <v>43</v>
      </c>
      <c r="G4" t="str">
        <f>PROPER(TRIM(Raw_Data!G4))</f>
        <v>Direct</v>
      </c>
      <c r="H4">
        <f>IFERROR(VALUE(SUBSTITUTE(SUBSTITUTE(Raw_Data!I4,"$",""),",","")),"Missing/Invalid")</f>
        <v>283.01</v>
      </c>
      <c r="I4" t="str">
        <f>IF(OR(UPPER(TRIM(Raw_Data!K4))="YES",UPPER(TRIM(Raw_Data!K4))="TRUE",TRIM(Raw_Data!K4)="1"),"Yes","No")</f>
        <v>No</v>
      </c>
      <c r="J4" s="6" t="str">
        <f>IF(COUNTIF($A$2:A4,A4)&gt;1,"Duplicate - Remove","Unique")</f>
        <v>Unique</v>
      </c>
    </row>
    <row r="5" spans="1:10">
      <c r="A5">
        <f>Raw_Data!A5</f>
        <v>100028</v>
      </c>
      <c r="B5" t="str">
        <f>PROPER(TRIM(Raw_Data!B5))</f>
        <v>City Hotel</v>
      </c>
      <c r="C5" t="str">
        <f>PROPER(TRIM(Raw_Data!C5))</f>
        <v>Ethan Davis</v>
      </c>
      <c r="D5" t="str">
        <f>IF(TRIM(Raw_Data!D5)="","Unknown",PROPER(TRIM(Raw_Data!D5)))</f>
        <v>United Kingdom</v>
      </c>
      <c r="E5" s="2">
        <f>IFERROR(DATEVALUE(Raw_Data!E5),IFERROR(DATE(VALUE(RIGHT(Raw_Data!E5,4)),VALUE(LEFT(Raw_Data!E5,2)),VALUE(MID(Raw_Data!E5,4,2))),"Check Format"))</f>
        <v>2695707</v>
      </c>
      <c r="F5">
        <f>IF(ISNUMBER(Raw_Data!F5),IF(Raw_Data!F5&lt;0,"Invalid (negative)",Raw_Data!F5),"Invalid (non-numeric)")</f>
        <v>44</v>
      </c>
      <c r="G5" t="str">
        <f>PROPER(TRIM(Raw_Data!G5))</f>
        <v>Online Ta</v>
      </c>
      <c r="H5">
        <f>IFERROR(VALUE(SUBSTITUTE(SUBSTITUTE(Raw_Data!I5,"$",""),",","")),"Missing/Invalid")</f>
        <v>273.81</v>
      </c>
      <c r="I5" t="str">
        <f>IF(OR(UPPER(TRIM(Raw_Data!K5))="YES",UPPER(TRIM(Raw_Data!K5))="TRUE",TRIM(Raw_Data!K5)="1"),"Yes","No")</f>
        <v>No</v>
      </c>
      <c r="J5" s="6" t="str">
        <f>IF(COUNTIF($A$2:A5,A5)&gt;1,"Duplicate - Remove","Unique")</f>
        <v>Unique</v>
      </c>
    </row>
    <row r="6" spans="1:10">
      <c r="A6">
        <f>Raw_Data!A6</f>
        <v>100023</v>
      </c>
      <c r="B6" t="str">
        <f>PROPER(TRIM(Raw_Data!B6))</f>
        <v>Resort Hotel</v>
      </c>
      <c r="C6" t="str">
        <f>PROPER(TRIM(Raw_Data!C6))</f>
        <v>Olivia Brown</v>
      </c>
      <c r="D6" t="str">
        <f>IF(TRIM(Raw_Data!D6)="","Unknown",PROPER(TRIM(Raw_Data!D6)))</f>
        <v>Brazil</v>
      </c>
      <c r="E6" s="2">
        <f>IFERROR(DATEVALUE(Raw_Data!E6),IFERROR(DATE(VALUE(RIGHT(Raw_Data!E6,4)),VALUE(LEFT(Raw_Data!E6,2)),VALUE(MID(Raw_Data!E6,4,2))),"Check Format"))</f>
        <v>45680</v>
      </c>
      <c r="F6">
        <f>IF(ISNUMBER(Raw_Data!F6),IF(Raw_Data!F6&lt;0,"Invalid (negative)",Raw_Data!F6),"Invalid (non-numeric)")</f>
        <v>37</v>
      </c>
      <c r="G6" t="str">
        <f>PROPER(TRIM(Raw_Data!G6))</f>
        <v>Offline Ta/To</v>
      </c>
      <c r="H6">
        <f>IFERROR(VALUE(SUBSTITUTE(SUBSTITUTE(Raw_Data!I6,"$",""),",","")),"Missing/Invalid")</f>
        <v>147.32</v>
      </c>
      <c r="I6" t="str">
        <f>IF(OR(UPPER(TRIM(Raw_Data!K6))="YES",UPPER(TRIM(Raw_Data!K6))="TRUE",TRIM(Raw_Data!K6)="1"),"Yes","No")</f>
        <v>Yes</v>
      </c>
      <c r="J6" s="6" t="str">
        <f>IF(COUNTIF($A$2:A6,A6)&gt;1,"Duplicate - Remove","Unique")</f>
        <v>Unique</v>
      </c>
    </row>
    <row r="7" spans="1:10">
      <c r="A7">
        <f>Raw_Data!A7</f>
        <v>100042</v>
      </c>
      <c r="B7" t="str">
        <f>PROPER(TRIM(Raw_Data!B7))</f>
        <v>City Hotel</v>
      </c>
      <c r="C7" t="str">
        <f>PROPER(TRIM(Raw_Data!C7))</f>
        <v>Mia Wilson</v>
      </c>
      <c r="D7" t="str">
        <f>IF(TRIM(Raw_Data!D7)="","Unknown",PROPER(TRIM(Raw_Data!D7)))</f>
        <v>Usa</v>
      </c>
      <c r="E7" s="2">
        <f>IFERROR(DATEVALUE(Raw_Data!E7),IFERROR(DATE(VALUE(RIGHT(Raw_Data!E7,4)),VALUE(LEFT(Raw_Data!E7,2)),VALUE(MID(Raw_Data!E7,4,2))),"Check Format"))</f>
        <v>45821</v>
      </c>
      <c r="F7">
        <f>IF(ISNUMBER(Raw_Data!F7),IF(Raw_Data!F7&lt;0,"Invalid (negative)",Raw_Data!F7),"Invalid (non-numeric)")</f>
        <v>84</v>
      </c>
      <c r="G7" t="str">
        <f>PROPER(TRIM(Raw_Data!G7))</f>
        <v>Online Ta</v>
      </c>
      <c r="H7">
        <f>IFERROR(VALUE(SUBSTITUTE(SUBSTITUTE(Raw_Data!I7,"$",""),",","")),"Missing/Invalid")</f>
        <v>281.61</v>
      </c>
      <c r="I7" t="str">
        <f>IF(OR(UPPER(TRIM(Raw_Data!K7))="YES",UPPER(TRIM(Raw_Data!K7))="TRUE",TRIM(Raw_Data!K7)="1"),"Yes","No")</f>
        <v>No</v>
      </c>
      <c r="J7" s="6" t="str">
        <f>IF(COUNTIF($A$2:A7,A7)&gt;1,"Duplicate - Remove","Unique")</f>
        <v>Unique</v>
      </c>
    </row>
    <row r="8" spans="1:10">
      <c r="A8">
        <f>Raw_Data!A8</f>
        <v>100039</v>
      </c>
      <c r="B8" t="str">
        <f>PROPER(TRIM(Raw_Data!B8))</f>
        <v>Resort Hotel</v>
      </c>
      <c r="C8" t="str">
        <f>PROPER(TRIM(Raw_Data!C8))</f>
        <v>Henry Harris</v>
      </c>
      <c r="D8" t="str">
        <f>IF(TRIM(Raw_Data!D8)="","Unknown",PROPER(TRIM(Raw_Data!D8)))</f>
        <v>Ireland</v>
      </c>
      <c r="E8" s="2">
        <f>IFERROR(DATEVALUE(Raw_Data!E8),IFERROR(DATE(VALUE(RIGHT(Raw_Data!E8,4)),VALUE(LEFT(Raw_Data!E8,2)),VALUE(MID(Raw_Data!E8,4,2))),"Check Format"))</f>
        <v>45870</v>
      </c>
      <c r="F8">
        <f>IF(ISNUMBER(Raw_Data!F8),IF(Raw_Data!F8&lt;0,"Invalid (negative)",Raw_Data!F8),"Invalid (non-numeric)")</f>
        <v>108</v>
      </c>
      <c r="G8" t="str">
        <f>PROPER(TRIM(Raw_Data!G8))</f>
        <v>Online Ta</v>
      </c>
      <c r="H8">
        <f>IFERROR(VALUE(SUBSTITUTE(SUBSTITUTE(Raw_Data!I8,"$",""),",","")),"Missing/Invalid")</f>
        <v>306.24</v>
      </c>
      <c r="I8" t="str">
        <f>IF(OR(UPPER(TRIM(Raw_Data!K8))="YES",UPPER(TRIM(Raw_Data!K8))="TRUE",TRIM(Raw_Data!K8)="1"),"Yes","No")</f>
        <v>No</v>
      </c>
      <c r="J8" s="6" t="str">
        <f>IF(COUNTIF($A$2:A8,A8)&gt;1,"Duplicate - Remove","Unique")</f>
        <v>Unique</v>
      </c>
    </row>
    <row r="9" spans="1:10">
      <c r="A9">
        <f>Raw_Data!A9</f>
        <v>100003</v>
      </c>
      <c r="B9" t="str">
        <f>PROPER(TRIM(Raw_Data!B9))</f>
        <v>Resort Hotel</v>
      </c>
      <c r="C9" t="str">
        <f>PROPER(TRIM(Raw_Data!C9))</f>
        <v>Maria Silva</v>
      </c>
      <c r="D9" t="str">
        <f>IF(TRIM(Raw_Data!D9)="","Unknown",PROPER(TRIM(Raw_Data!D9)))</f>
        <v>Spain</v>
      </c>
      <c r="E9" s="2">
        <f>IFERROR(DATEVALUE(Raw_Data!E9),IFERROR(DATE(VALUE(RIGHT(Raw_Data!E9,4)),VALUE(LEFT(Raw_Data!E9,2)),VALUE(MID(Raw_Data!E9,4,2))),"Check Format"))</f>
        <v>2666822</v>
      </c>
      <c r="F9" t="str">
        <f>IF(ISNUMBER(Raw_Data!F9),IF(Raw_Data!F9&lt;0,"Invalid (negative)",Raw_Data!F9),"Invalid (non-numeric)")</f>
        <v>Invalid (non-numeric)</v>
      </c>
      <c r="G9" t="str">
        <f>PROPER(TRIM(Raw_Data!G9))</f>
        <v>Offline Ta/To</v>
      </c>
      <c r="H9">
        <f>IFERROR(VALUE(SUBSTITUTE(SUBSTITUTE(Raw_Data!I9,"$",""),",","")),"Missing/Invalid")</f>
        <v>158.83000000000001</v>
      </c>
      <c r="I9" t="str">
        <f>IF(OR(UPPER(TRIM(Raw_Data!K9))="YES",UPPER(TRIM(Raw_Data!K9))="TRUE",TRIM(Raw_Data!K9)="1"),"Yes","No")</f>
        <v>No</v>
      </c>
      <c r="J9" s="6" t="str">
        <f>IF(COUNTIF($A$2:A9,A9)&gt;1,"Duplicate - Remove","Unique")</f>
        <v>Unique</v>
      </c>
    </row>
    <row r="10" spans="1:10">
      <c r="A10">
        <f>Raw_Data!A10</f>
        <v>100014</v>
      </c>
      <c r="B10" t="str">
        <f>PROPER(TRIM(Raw_Data!B10))</f>
        <v>Resort Hotel</v>
      </c>
      <c r="C10" t="str">
        <f>PROPER(TRIM(Raw_Data!C10))</f>
        <v>Henry Harris</v>
      </c>
      <c r="D10" t="str">
        <f>IF(TRIM(Raw_Data!D10)="","Unknown",PROPER(TRIM(Raw_Data!D10)))</f>
        <v>Germany</v>
      </c>
      <c r="E10" s="2">
        <f>IFERROR(DATEVALUE(Raw_Data!E10),IFERROR(DATE(VALUE(RIGHT(Raw_Data!E10,4)),VALUE(LEFT(Raw_Data!E10,2)),VALUE(MID(Raw_Data!E10,4,2))),"Check Format"))</f>
        <v>45812</v>
      </c>
      <c r="F10">
        <f>IF(ISNUMBER(Raw_Data!F10),IF(Raw_Data!F10&lt;0,"Invalid (negative)",Raw_Data!F10),"Invalid (non-numeric)")</f>
        <v>113</v>
      </c>
      <c r="G10" t="str">
        <f>PROPER(TRIM(Raw_Data!G10))</f>
        <v>Offline Ta/To</v>
      </c>
      <c r="H10">
        <f>IFERROR(VALUE(SUBSTITUTE(SUBSTITUTE(Raw_Data!I10,"$",""),",","")),"Missing/Invalid")</f>
        <v>90.01</v>
      </c>
      <c r="I10" t="str">
        <f>IF(OR(UPPER(TRIM(Raw_Data!K10))="YES",UPPER(TRIM(Raw_Data!K10))="TRUE",TRIM(Raw_Data!K10)="1"),"Yes","No")</f>
        <v>No</v>
      </c>
      <c r="J10" s="6" t="str">
        <f>IF(COUNTIF($A$2:A10,A10)&gt;1,"Duplicate - Remove","Unique")</f>
        <v>Unique</v>
      </c>
    </row>
    <row r="11" spans="1:10">
      <c r="A11">
        <f>Raw_Data!A11</f>
        <v>100007</v>
      </c>
      <c r="B11" t="str">
        <f>PROPER(TRIM(Raw_Data!B11))</f>
        <v>Resort Hotel</v>
      </c>
      <c r="C11" t="str">
        <f>PROPER(TRIM(Raw_Data!C11))</f>
        <v>Alexander Thompson</v>
      </c>
      <c r="D11" t="str">
        <f>IF(TRIM(Raw_Data!D11)="","Unknown",PROPER(TRIM(Raw_Data!D11)))</f>
        <v>Unknown</v>
      </c>
      <c r="E11" s="2">
        <f>IFERROR(DATEVALUE(Raw_Data!E11),IFERROR(DATE(VALUE(RIGHT(Raw_Data!E11,4)),VALUE(LEFT(Raw_Data!E11,2)),VALUE(MID(Raw_Data!E11,4,2))),"Check Format"))</f>
        <v>2677444</v>
      </c>
      <c r="F11">
        <f>IF(ISNUMBER(Raw_Data!F11),IF(Raw_Data!F11&lt;0,"Invalid (negative)",Raw_Data!F11),"Invalid (non-numeric)")</f>
        <v>15</v>
      </c>
      <c r="G11" t="str">
        <f>PROPER(TRIM(Raw_Data!G11))</f>
        <v>Direct</v>
      </c>
      <c r="H11">
        <f>IFERROR(VALUE(SUBSTITUTE(SUBSTITUTE(Raw_Data!I11,"$",""),",","")),"Missing/Invalid")</f>
        <v>122.26</v>
      </c>
      <c r="I11" t="str">
        <f>IF(OR(UPPER(TRIM(Raw_Data!K11))="YES",UPPER(TRIM(Raw_Data!K11))="TRUE",TRIM(Raw_Data!K11)="1"),"Yes","No")</f>
        <v>No</v>
      </c>
      <c r="J11" s="6" t="str">
        <f>IF(COUNTIF($A$2:A11,A11)&gt;1,"Duplicate - Remove","Unique")</f>
        <v>Unique</v>
      </c>
    </row>
    <row r="12" spans="1:10">
      <c r="A12">
        <f>Raw_Data!A12</f>
        <v>100043</v>
      </c>
      <c r="B12" t="str">
        <f>PROPER(TRIM(Raw_Data!B12))</f>
        <v>Resort Hotel</v>
      </c>
      <c r="C12" t="str">
        <f>PROPER(TRIM(Raw_Data!C12))</f>
        <v>Liam O'Brien</v>
      </c>
      <c r="D12" t="str">
        <f>IF(TRIM(Raw_Data!D12)="","Unknown",PROPER(TRIM(Raw_Data!D12)))</f>
        <v>Brazil</v>
      </c>
      <c r="E12" s="2">
        <f>IFERROR(DATEVALUE(Raw_Data!E12),IFERROR(DATE(VALUE(RIGHT(Raw_Data!E12,4)),VALUE(LEFT(Raw_Data!E12,2)),VALUE(MID(Raw_Data!E12,4,2))),"Check Format"))</f>
        <v>45711</v>
      </c>
      <c r="F12" t="str">
        <f>IF(ISNUMBER(Raw_Data!F12),IF(Raw_Data!F12&lt;0,"Invalid (negative)",Raw_Data!F12),"Invalid (non-numeric)")</f>
        <v>Invalid (negative)</v>
      </c>
      <c r="G12" t="str">
        <f>PROPER(TRIM(Raw_Data!G12))</f>
        <v>Online Ta</v>
      </c>
      <c r="H12" t="str">
        <f>IFERROR(VALUE(SUBSTITUTE(SUBSTITUTE(Raw_Data!I12,"$",""),",","")),"Missing/Invalid")</f>
        <v>Missing/Invalid</v>
      </c>
      <c r="I12" t="str">
        <f>IF(OR(UPPER(TRIM(Raw_Data!K12))="YES",UPPER(TRIM(Raw_Data!K12))="TRUE",TRIM(Raw_Data!K12)="1"),"Yes","No")</f>
        <v>No</v>
      </c>
      <c r="J12" s="6" t="str">
        <f>IF(COUNTIF($A$2:A12,A12)&gt;1,"Duplicate - Remove","Unique")</f>
        <v>Unique</v>
      </c>
    </row>
    <row r="13" spans="1:10">
      <c r="A13">
        <f>Raw_Data!A13</f>
        <v>100020</v>
      </c>
      <c r="B13" t="str">
        <f>PROPER(TRIM(Raw_Data!B13))</f>
        <v>City Hotel</v>
      </c>
      <c r="C13" t="str">
        <f>PROPER(TRIM(Raw_Data!C13))</f>
        <v>Amelia Martin</v>
      </c>
      <c r="D13" t="str">
        <f>IF(TRIM(Raw_Data!D13)="","Unknown",PROPER(TRIM(Raw_Data!D13)))</f>
        <v>Usa</v>
      </c>
      <c r="E13" s="2">
        <f>IFERROR(DATEVALUE(Raw_Data!E13),IFERROR(DATE(VALUE(RIGHT(Raw_Data!E13,4)),VALUE(LEFT(Raw_Data!E13,2)),VALUE(MID(Raw_Data!E13,4,2))),"Check Format"))</f>
        <v>45967</v>
      </c>
      <c r="F13">
        <f>IF(ISNUMBER(Raw_Data!F13),IF(Raw_Data!F13&lt;0,"Invalid (negative)",Raw_Data!F13),"Invalid (non-numeric)")</f>
        <v>60</v>
      </c>
      <c r="G13" t="str">
        <f>PROPER(TRIM(Raw_Data!G13))</f>
        <v>Corporate</v>
      </c>
      <c r="H13" t="str">
        <f>IFERROR(VALUE(SUBSTITUTE(SUBSTITUTE(Raw_Data!I13,"$",""),",","")),"Missing/Invalid")</f>
        <v>Missing/Invalid</v>
      </c>
      <c r="I13" t="str">
        <f>IF(OR(UPPER(TRIM(Raw_Data!K13))="YES",UPPER(TRIM(Raw_Data!K13))="TRUE",TRIM(Raw_Data!K13)="1"),"Yes","No")</f>
        <v>No</v>
      </c>
      <c r="J13" s="6" t="str">
        <f>IF(COUNTIF($A$2:A13,A13)&gt;1,"Duplicate - Remove","Unique")</f>
        <v>Unique</v>
      </c>
    </row>
    <row r="14" spans="1:10">
      <c r="A14">
        <f>Raw_Data!A14</f>
        <v>100041</v>
      </c>
      <c r="B14" t="str">
        <f>PROPER(TRIM(Raw_Data!B14))</f>
        <v>Resort Hotel</v>
      </c>
      <c r="C14" t="str">
        <f>PROPER(TRIM(Raw_Data!C14))</f>
        <v>James Anderson</v>
      </c>
      <c r="D14" t="str">
        <f>IF(TRIM(Raw_Data!D14)="","Unknown",PROPER(TRIM(Raw_Data!D14)))</f>
        <v>Portugal</v>
      </c>
      <c r="E14" s="2">
        <f>IFERROR(DATEVALUE(Raw_Data!E14),IFERROR(DATE(VALUE(RIGHT(Raw_Data!E14,4)),VALUE(LEFT(Raw_Data!E14,2)),VALUE(MID(Raw_Data!E14,4,2))),"Check Format"))</f>
        <v>2674524</v>
      </c>
      <c r="F14" t="str">
        <f>IF(ISNUMBER(Raw_Data!F14),IF(Raw_Data!F14&lt;0,"Invalid (negative)",Raw_Data!F14),"Invalid (non-numeric)")</f>
        <v>Invalid (non-numeric)</v>
      </c>
      <c r="G14" t="str">
        <f>PROPER(TRIM(Raw_Data!G14))</f>
        <v>Corporate</v>
      </c>
      <c r="H14" t="str">
        <f>IFERROR(VALUE(SUBSTITUTE(SUBSTITUTE(Raw_Data!I14,"$",""),",","")),"Missing/Invalid")</f>
        <v>Missing/Invalid</v>
      </c>
      <c r="I14" t="str">
        <f>IF(OR(UPPER(TRIM(Raw_Data!K14))="YES",UPPER(TRIM(Raw_Data!K14))="TRUE",TRIM(Raw_Data!K14)="1"),"Yes","No")</f>
        <v>No</v>
      </c>
      <c r="J14" s="6" t="str">
        <f>IF(COUNTIF($A$2:A14,A14)&gt;1,"Duplicate - Remove","Unique")</f>
        <v>Unique</v>
      </c>
    </row>
    <row r="15" spans="1:10">
      <c r="A15">
        <f>Raw_Data!A15</f>
        <v>100002</v>
      </c>
      <c r="B15" t="str">
        <f>PROPER(TRIM(Raw_Data!B15))</f>
        <v>Resort Hotel</v>
      </c>
      <c r="C15" t="str">
        <f>PROPER(TRIM(Raw_Data!C15))</f>
        <v>James Anderson</v>
      </c>
      <c r="D15" t="str">
        <f>IF(TRIM(Raw_Data!D15)="","Unknown",PROPER(TRIM(Raw_Data!D15)))</f>
        <v>Italy</v>
      </c>
      <c r="E15" s="2">
        <f>IFERROR(DATEVALUE(Raw_Data!E15),IFERROR(DATE(VALUE(RIGHT(Raw_Data!E15,4)),VALUE(LEFT(Raw_Data!E15,2)),VALUE(MID(Raw_Data!E15,4,2))),"Check Format"))</f>
        <v>2667554</v>
      </c>
      <c r="F15">
        <f>IF(ISNUMBER(Raw_Data!F15),IF(Raw_Data!F15&lt;0,"Invalid (negative)",Raw_Data!F15),"Invalid (non-numeric)")</f>
        <v>28</v>
      </c>
      <c r="G15" t="str">
        <f>PROPER(TRIM(Raw_Data!G15))</f>
        <v>Direct</v>
      </c>
      <c r="H15">
        <f>IFERROR(VALUE(SUBSTITUTE(SUBSTITUTE(Raw_Data!I15,"$",""),",","")),"Missing/Invalid")</f>
        <v>84.11</v>
      </c>
      <c r="I15" t="str">
        <f>IF(OR(UPPER(TRIM(Raw_Data!K15))="YES",UPPER(TRIM(Raw_Data!K15))="TRUE",TRIM(Raw_Data!K15)="1"),"Yes","No")</f>
        <v>No</v>
      </c>
      <c r="J15" s="6" t="str">
        <f>IF(COUNTIF($A$2:A15,A15)&gt;1,"Duplicate - Remove","Unique")</f>
        <v>Unique</v>
      </c>
    </row>
    <row r="16" spans="1:10">
      <c r="A16">
        <f>Raw_Data!A16</f>
        <v>100034</v>
      </c>
      <c r="B16" t="str">
        <f>PROPER(TRIM(Raw_Data!B16))</f>
        <v>Resort Hotel</v>
      </c>
      <c r="C16" t="str">
        <f>PROPER(TRIM(Raw_Data!C16))</f>
        <v>Emma Johnson</v>
      </c>
      <c r="D16" t="str">
        <f>IF(TRIM(Raw_Data!D16)="","Unknown",PROPER(TRIM(Raw_Data!D16)))</f>
        <v>Spain</v>
      </c>
      <c r="E16" s="2">
        <f>IFERROR(DATEVALUE(Raw_Data!E16),IFERROR(DATE(VALUE(RIGHT(Raw_Data!E16,4)),VALUE(LEFT(Raw_Data!E16,2)),VALUE(MID(Raw_Data!E16,4,2))),"Check Format"))</f>
        <v>2673792</v>
      </c>
      <c r="F16">
        <f>IF(ISNUMBER(Raw_Data!F16),IF(Raw_Data!F16&lt;0,"Invalid (negative)",Raw_Data!F16),"Invalid (non-numeric)")</f>
        <v>11</v>
      </c>
      <c r="G16" t="str">
        <f>PROPER(TRIM(Raw_Data!G16))</f>
        <v>Offline Ta/To</v>
      </c>
      <c r="H16">
        <f>IFERROR(VALUE(SUBSTITUTE(SUBSTITUTE(Raw_Data!I16,"$",""),",","")),"Missing/Invalid")</f>
        <v>105.19</v>
      </c>
      <c r="I16" t="str">
        <f>IF(OR(UPPER(TRIM(Raw_Data!K16))="YES",UPPER(TRIM(Raw_Data!K16))="TRUE",TRIM(Raw_Data!K16)="1"),"Yes","No")</f>
        <v>Yes</v>
      </c>
      <c r="J16" s="6" t="str">
        <f>IF(COUNTIF($A$2:A16,A16)&gt;1,"Duplicate - Remove","Unique")</f>
        <v>Unique</v>
      </c>
    </row>
    <row r="17" spans="1:10">
      <c r="A17">
        <f>Raw_Data!A17</f>
        <v>100029</v>
      </c>
      <c r="B17" t="str">
        <f>PROPER(TRIM(Raw_Data!B17))</f>
        <v>City Hotel</v>
      </c>
      <c r="C17" t="str">
        <f>PROPER(TRIM(Raw_Data!C17))</f>
        <v>Mia Wilson</v>
      </c>
      <c r="D17" t="str">
        <f>IF(TRIM(Raw_Data!D17)="","Unknown",PROPER(TRIM(Raw_Data!D17)))</f>
        <v>Spain</v>
      </c>
      <c r="E17" s="2">
        <f>IFERROR(DATEVALUE(Raw_Data!E17),IFERROR(DATE(VALUE(RIGHT(Raw_Data!E17,4)),VALUE(LEFT(Raw_Data!E17,2)),VALUE(MID(Raw_Data!E17,4,2))),"Check Format"))</f>
        <v>45666</v>
      </c>
      <c r="F17">
        <f>IF(ISNUMBER(Raw_Data!F17),IF(Raw_Data!F17&lt;0,"Invalid (negative)",Raw_Data!F17),"Invalid (non-numeric)")</f>
        <v>113</v>
      </c>
      <c r="G17" t="str">
        <f>PROPER(TRIM(Raw_Data!G17))</f>
        <v>Corporate</v>
      </c>
      <c r="H17">
        <f>IFERROR(VALUE(SUBSTITUTE(SUBSTITUTE(Raw_Data!I17,"$",""),",","")),"Missing/Invalid")</f>
        <v>255.12</v>
      </c>
      <c r="I17" t="str">
        <f>IF(OR(UPPER(TRIM(Raw_Data!K17))="YES",UPPER(TRIM(Raw_Data!K17))="TRUE",TRIM(Raw_Data!K17)="1"),"Yes","No")</f>
        <v>No</v>
      </c>
      <c r="J17" s="6" t="str">
        <f>IF(COUNTIF($A$2:A17,A17)&gt;1,"Duplicate - Remove","Unique")</f>
        <v>Unique</v>
      </c>
    </row>
    <row r="18" spans="1:10">
      <c r="A18">
        <f>Raw_Data!A18</f>
        <v>100026</v>
      </c>
      <c r="B18" t="str">
        <f>PROPER(TRIM(Raw_Data!B18))</f>
        <v>Resort Hotel</v>
      </c>
      <c r="C18" t="str">
        <f>PROPER(TRIM(Raw_Data!C18))</f>
        <v>Ethan Davis</v>
      </c>
      <c r="D18" t="str">
        <f>IF(TRIM(Raw_Data!D18)="","Unknown",PROPER(TRIM(Raw_Data!D18)))</f>
        <v>Spain</v>
      </c>
      <c r="E18" s="2">
        <f>IFERROR(DATEVALUE(Raw_Data!E18),IFERROR(DATE(VALUE(RIGHT(Raw_Data!E18,4)),VALUE(LEFT(Raw_Data!E18,2)),VALUE(MID(Raw_Data!E18,4,2))),"Check Format"))</f>
        <v>45722</v>
      </c>
      <c r="F18">
        <f>IF(ISNUMBER(Raw_Data!F18),IF(Raw_Data!F18&lt;0,"Invalid (negative)",Raw_Data!F18),"Invalid (non-numeric)")</f>
        <v>100</v>
      </c>
      <c r="G18" t="str">
        <f>PROPER(TRIM(Raw_Data!G18))</f>
        <v>Online Ta</v>
      </c>
      <c r="H18">
        <f>IFERROR(VALUE(SUBSTITUTE(SUBSTITUTE(Raw_Data!I18,"$",""),",","")),"Missing/Invalid")</f>
        <v>306.89999999999998</v>
      </c>
      <c r="I18" t="str">
        <f>IF(OR(UPPER(TRIM(Raw_Data!K18))="YES",UPPER(TRIM(Raw_Data!K18))="TRUE",TRIM(Raw_Data!K18)="1"),"Yes","No")</f>
        <v>No</v>
      </c>
      <c r="J18" s="6" t="str">
        <f>IF(COUNTIF($A$2:A18,A18)&gt;1,"Duplicate - Remove","Unique")</f>
        <v>Unique</v>
      </c>
    </row>
    <row r="19" spans="1:10">
      <c r="A19">
        <f>Raw_Data!A19</f>
        <v>100034</v>
      </c>
      <c r="B19" t="str">
        <f>PROPER(TRIM(Raw_Data!B19))</f>
        <v>Resort Hotel</v>
      </c>
      <c r="C19" t="str">
        <f>PROPER(TRIM(Raw_Data!C19))</f>
        <v>Emma Johnson</v>
      </c>
      <c r="D19" t="str">
        <f>IF(TRIM(Raw_Data!D19)="","Unknown",PROPER(TRIM(Raw_Data!D19)))</f>
        <v>Spain</v>
      </c>
      <c r="E19" s="2">
        <f>IFERROR(DATEVALUE(Raw_Data!E19),IFERROR(DATE(VALUE(RIGHT(Raw_Data!E19,4)),VALUE(LEFT(Raw_Data!E19,2)),VALUE(MID(Raw_Data!E19,4,2))),"Check Format"))</f>
        <v>2673792</v>
      </c>
      <c r="F19">
        <f>IF(ISNUMBER(Raw_Data!F19),IF(Raw_Data!F19&lt;0,"Invalid (negative)",Raw_Data!F19),"Invalid (non-numeric)")</f>
        <v>11</v>
      </c>
      <c r="G19" t="str">
        <f>PROPER(TRIM(Raw_Data!G19))</f>
        <v>Offline Ta/To</v>
      </c>
      <c r="H19">
        <f>IFERROR(VALUE(SUBSTITUTE(SUBSTITUTE(Raw_Data!I19,"$",""),",","")),"Missing/Invalid")</f>
        <v>105.19</v>
      </c>
      <c r="I19" t="str">
        <f>IF(OR(UPPER(TRIM(Raw_Data!K19))="YES",UPPER(TRIM(Raw_Data!K19))="TRUE",TRIM(Raw_Data!K19)="1"),"Yes","No")</f>
        <v>Yes</v>
      </c>
      <c r="J19" s="6" t="str">
        <f>IF(COUNTIF($A$2:A19,A19)&gt;1,"Duplicate - Remove","Unique")</f>
        <v>Duplicate - Remove</v>
      </c>
    </row>
    <row r="20" spans="1:10">
      <c r="A20">
        <f>Raw_Data!A20</f>
        <v>100035</v>
      </c>
      <c r="B20" t="str">
        <f>PROPER(TRIM(Raw_Data!B20))</f>
        <v>Resort Hotel</v>
      </c>
      <c r="C20" t="str">
        <f>PROPER(TRIM(Raw_Data!C20))</f>
        <v>James Anderson</v>
      </c>
      <c r="D20" t="str">
        <f>IF(TRIM(Raw_Data!D20)="","Unknown",PROPER(TRIM(Raw_Data!D20)))</f>
        <v>United Kingdom</v>
      </c>
      <c r="E20" s="2">
        <f>IFERROR(DATEVALUE(Raw_Data!E20),IFERROR(DATE(VALUE(RIGHT(Raw_Data!E20,4)),VALUE(LEFT(Raw_Data!E20,2)),VALUE(MID(Raw_Data!E20,4,2))),"Check Format"))</f>
        <v>45785</v>
      </c>
      <c r="F20">
        <f>IF(ISNUMBER(Raw_Data!F20),IF(Raw_Data!F20&lt;0,"Invalid (negative)",Raw_Data!F20),"Invalid (non-numeric)")</f>
        <v>83</v>
      </c>
      <c r="G20" t="str">
        <f>PROPER(TRIM(Raw_Data!G20))</f>
        <v>Offline Ta/To</v>
      </c>
      <c r="H20">
        <f>IFERROR(VALUE(SUBSTITUTE(SUBSTITUTE(Raw_Data!I20,"$",""),",","")),"Missing/Invalid")</f>
        <v>274.92</v>
      </c>
      <c r="I20" t="str">
        <f>IF(OR(UPPER(TRIM(Raw_Data!K20))="YES",UPPER(TRIM(Raw_Data!K20))="TRUE",TRIM(Raw_Data!K20)="1"),"Yes","No")</f>
        <v>Yes</v>
      </c>
      <c r="J20" s="6" t="str">
        <f>IF(COUNTIF($A$2:A20,A20)&gt;1,"Duplicate - Remove","Unique")</f>
        <v>Unique</v>
      </c>
    </row>
    <row r="21" spans="1:10">
      <c r="A21">
        <f>Raw_Data!A21</f>
        <v>100016</v>
      </c>
      <c r="B21" t="str">
        <f>PROPER(TRIM(Raw_Data!B21))</f>
        <v>Resort Hotel</v>
      </c>
      <c r="C21" t="str">
        <f>PROPER(TRIM(Raw_Data!C21))</f>
        <v>Ethan Davis</v>
      </c>
      <c r="D21" t="str">
        <f>IF(TRIM(Raw_Data!D21)="","Unknown",PROPER(TRIM(Raw_Data!D21)))</f>
        <v>Spain</v>
      </c>
      <c r="E21" s="2">
        <f>IFERROR(DATEVALUE(Raw_Data!E21),IFERROR(DATE(VALUE(RIGHT(Raw_Data!E21,4)),VALUE(LEFT(Raw_Data!E21,2)),VALUE(MID(Raw_Data!E21,4,2))),"Check Format"))</f>
        <v>45875</v>
      </c>
      <c r="F21">
        <f>IF(ISNUMBER(Raw_Data!F21),IF(Raw_Data!F21&lt;0,"Invalid (negative)",Raw_Data!F21),"Invalid (non-numeric)")</f>
        <v>86</v>
      </c>
      <c r="G21" t="str">
        <f>PROPER(TRIM(Raw_Data!G21))</f>
        <v>Online Ta</v>
      </c>
      <c r="H21">
        <f>IFERROR(VALUE(SUBSTITUTE(SUBSTITUTE(Raw_Data!I21,"$",""),",","")),"Missing/Invalid")</f>
        <v>262.83</v>
      </c>
      <c r="I21" t="str">
        <f>IF(OR(UPPER(TRIM(Raw_Data!K21))="YES",UPPER(TRIM(Raw_Data!K21))="TRUE",TRIM(Raw_Data!K21)="1"),"Yes","No")</f>
        <v>No</v>
      </c>
      <c r="J21" s="6" t="str">
        <f>IF(COUNTIF($A$2:A21,A21)&gt;1,"Duplicate - Remove","Unique")</f>
        <v>Unique</v>
      </c>
    </row>
    <row r="22" spans="1:10">
      <c r="A22">
        <f>Raw_Data!A22</f>
        <v>100033</v>
      </c>
      <c r="B22" t="str">
        <f>PROPER(TRIM(Raw_Data!B22))</f>
        <v>Resort Hotel</v>
      </c>
      <c r="C22" t="str">
        <f>PROPER(TRIM(Raw_Data!C22))</f>
        <v>Amelia Martin</v>
      </c>
      <c r="D22" t="str">
        <f>IF(TRIM(Raw_Data!D22)="","Unknown",PROPER(TRIM(Raw_Data!D22)))</f>
        <v>Portugal</v>
      </c>
      <c r="E22" s="2">
        <f>IFERROR(DATEVALUE(Raw_Data!E22),IFERROR(DATE(VALUE(RIGHT(Raw_Data!E22,4)),VALUE(LEFT(Raw_Data!E22,2)),VALUE(MID(Raw_Data!E22,4,2))),"Check Format"))</f>
        <v>45693</v>
      </c>
      <c r="F22">
        <f>IF(ISNUMBER(Raw_Data!F22),IF(Raw_Data!F22&lt;0,"Invalid (negative)",Raw_Data!F22),"Invalid (non-numeric)")</f>
        <v>104</v>
      </c>
      <c r="G22" t="str">
        <f>PROPER(TRIM(Raw_Data!G22))</f>
        <v>Groups</v>
      </c>
      <c r="H22">
        <f>IFERROR(VALUE(SUBSTITUTE(SUBSTITUTE(Raw_Data!I22,"$",""),",","")),"Missing/Invalid")</f>
        <v>82.15</v>
      </c>
      <c r="I22" t="str">
        <f>IF(OR(UPPER(TRIM(Raw_Data!K22))="YES",UPPER(TRIM(Raw_Data!K22))="TRUE",TRIM(Raw_Data!K22)="1"),"Yes","No")</f>
        <v>Yes</v>
      </c>
      <c r="J22" s="6" t="str">
        <f>IF(COUNTIF($A$2:A22,A22)&gt;1,"Duplicate - Remove","Unique")</f>
        <v>Unique</v>
      </c>
    </row>
    <row r="23" spans="1:10">
      <c r="A23">
        <f>Raw_Data!A23</f>
        <v>100004</v>
      </c>
      <c r="B23" t="str">
        <f>PROPER(TRIM(Raw_Data!B23))</f>
        <v>Resort Hotel</v>
      </c>
      <c r="C23" t="str">
        <f>PROPER(TRIM(Raw_Data!C23))</f>
        <v>Mia Wilson</v>
      </c>
      <c r="D23" t="str">
        <f>IF(TRIM(Raw_Data!D23)="","Unknown",PROPER(TRIM(Raw_Data!D23)))</f>
        <v>Portugal</v>
      </c>
      <c r="E23" s="2">
        <f>IFERROR(DATEVALUE(Raw_Data!E23),IFERROR(DATE(VALUE(RIGHT(Raw_Data!E23,4)),VALUE(LEFT(Raw_Data!E23,2)),VALUE(MID(Raw_Data!E23,4,2))),"Check Format"))</f>
        <v>2665357</v>
      </c>
      <c r="F23">
        <f>IF(ISNUMBER(Raw_Data!F23),IF(Raw_Data!F23&lt;0,"Invalid (negative)",Raw_Data!F23),"Invalid (non-numeric)")</f>
        <v>5</v>
      </c>
      <c r="G23" t="str">
        <f>PROPER(TRIM(Raw_Data!G23))</f>
        <v>Direct</v>
      </c>
      <c r="H23">
        <f>IFERROR(VALUE(SUBSTITUTE(SUBSTITUTE(Raw_Data!I23,"$",""),",","")),"Missing/Invalid")</f>
        <v>129.61000000000001</v>
      </c>
      <c r="I23" t="str">
        <f>IF(OR(UPPER(TRIM(Raw_Data!K23))="YES",UPPER(TRIM(Raw_Data!K23))="TRUE",TRIM(Raw_Data!K23)="1"),"Yes","No")</f>
        <v>No</v>
      </c>
      <c r="J23" s="6" t="str">
        <f>IF(COUNTIF($A$2:A23,A23)&gt;1,"Duplicate - Remove","Unique")</f>
        <v>Unique</v>
      </c>
    </row>
    <row r="24" spans="1:10">
      <c r="A24">
        <f>Raw_Data!A24</f>
        <v>100011</v>
      </c>
      <c r="B24" t="str">
        <f>PROPER(TRIM(Raw_Data!B24))</f>
        <v>City Hotel</v>
      </c>
      <c r="C24" t="str">
        <f>PROPER(TRIM(Raw_Data!C24))</f>
        <v>Emma Johnson</v>
      </c>
      <c r="D24" t="str">
        <f>IF(TRIM(Raw_Data!D24)="","Unknown",PROPER(TRIM(Raw_Data!D24)))</f>
        <v>Ireland</v>
      </c>
      <c r="E24" s="2">
        <f>IFERROR(DATEVALUE(Raw_Data!E24),IFERROR(DATE(VALUE(RIGHT(Raw_Data!E24,4)),VALUE(LEFT(Raw_Data!E24,2)),VALUE(MID(Raw_Data!E24,4,2))),"Check Format"))</f>
        <v>45809</v>
      </c>
      <c r="F24">
        <f>IF(ISNUMBER(Raw_Data!F24),IF(Raw_Data!F24&lt;0,"Invalid (negative)",Raw_Data!F24),"Invalid (non-numeric)")</f>
        <v>49</v>
      </c>
      <c r="G24" t="str">
        <f>PROPER(TRIM(Raw_Data!G24))</f>
        <v>Online Ta</v>
      </c>
      <c r="H24" t="str">
        <f>IFERROR(VALUE(SUBSTITUTE(SUBSTITUTE(Raw_Data!I24,"$",""),",","")),"Missing/Invalid")</f>
        <v>Missing/Invalid</v>
      </c>
      <c r="I24" t="str">
        <f>IF(OR(UPPER(TRIM(Raw_Data!K24))="YES",UPPER(TRIM(Raw_Data!K24))="TRUE",TRIM(Raw_Data!K24)="1"),"Yes","No")</f>
        <v>No</v>
      </c>
      <c r="J24" s="6" t="str">
        <f>IF(COUNTIF($A$2:A24,A24)&gt;1,"Duplicate - Remove","Unique")</f>
        <v>Unique</v>
      </c>
    </row>
    <row r="25" spans="1:10">
      <c r="A25">
        <f>Raw_Data!A25</f>
        <v>100021</v>
      </c>
      <c r="B25" t="str">
        <f>PROPER(TRIM(Raw_Data!B25))</f>
        <v>Resort Hotel</v>
      </c>
      <c r="C25" t="str">
        <f>PROPER(TRIM(Raw_Data!C25))</f>
        <v>Benjamin Jackson</v>
      </c>
      <c r="D25" t="str">
        <f>IF(TRIM(Raw_Data!D25)="","Unknown",PROPER(TRIM(Raw_Data!D25)))</f>
        <v>Usa</v>
      </c>
      <c r="E25" s="2">
        <f>IFERROR(DATEVALUE(Raw_Data!E25),IFERROR(DATE(VALUE(RIGHT(Raw_Data!E25,4)),VALUE(LEFT(Raw_Data!E25,2)),VALUE(MID(Raw_Data!E25,4,2))),"Check Format"))</f>
        <v>2649658</v>
      </c>
      <c r="F25">
        <f>IF(ISNUMBER(Raw_Data!F25),IF(Raw_Data!F25&lt;0,"Invalid (negative)",Raw_Data!F25),"Invalid (non-numeric)")</f>
        <v>54</v>
      </c>
      <c r="G25" t="str">
        <f>PROPER(TRIM(Raw_Data!G25))</f>
        <v>Groups</v>
      </c>
      <c r="H25">
        <f>IFERROR(VALUE(SUBSTITUTE(SUBSTITUTE(Raw_Data!I25,"$",""),",","")),"Missing/Invalid")</f>
        <v>246.77</v>
      </c>
      <c r="I25" t="str">
        <f>IF(OR(UPPER(TRIM(Raw_Data!K25))="YES",UPPER(TRIM(Raw_Data!K25))="TRUE",TRIM(Raw_Data!K25)="1"),"Yes","No")</f>
        <v>No</v>
      </c>
      <c r="J25" s="6" t="str">
        <f>IF(COUNTIF($A$2:A25,A25)&gt;1,"Duplicate - Remove","Unique")</f>
        <v>Unique</v>
      </c>
    </row>
    <row r="26" spans="1:10">
      <c r="A26">
        <f>Raw_Data!A26</f>
        <v>100013</v>
      </c>
      <c r="B26" t="str">
        <f>PROPER(TRIM(Raw_Data!B26))</f>
        <v>Resort Hotel</v>
      </c>
      <c r="C26" t="str">
        <f>PROPER(TRIM(Raw_Data!C26))</f>
        <v>Lucas Garcia</v>
      </c>
      <c r="D26" t="str">
        <f>IF(TRIM(Raw_Data!D26)="","Unknown",PROPER(TRIM(Raw_Data!D26)))</f>
        <v>Brazil</v>
      </c>
      <c r="E26" s="2">
        <f>IFERROR(DATEVALUE(Raw_Data!E26),IFERROR(DATE(VALUE(RIGHT(Raw_Data!E26,4)),VALUE(LEFT(Raw_Data!E26,2)),VALUE(MID(Raw_Data!E26,4,2))),"Check Format"))</f>
        <v>45741</v>
      </c>
      <c r="F26">
        <f>IF(ISNUMBER(Raw_Data!F26),IF(Raw_Data!F26&lt;0,"Invalid (negative)",Raw_Data!F26),"Invalid (non-numeric)")</f>
        <v>120</v>
      </c>
      <c r="G26" t="str">
        <f>PROPER(TRIM(Raw_Data!G26))</f>
        <v>Online Ta</v>
      </c>
      <c r="H26">
        <f>IFERROR(VALUE(SUBSTITUTE(SUBSTITUTE(Raw_Data!I26,"$",""),",","")),"Missing/Invalid")</f>
        <v>179.15</v>
      </c>
      <c r="I26" t="str">
        <f>IF(OR(UPPER(TRIM(Raw_Data!K26))="YES",UPPER(TRIM(Raw_Data!K26))="TRUE",TRIM(Raw_Data!K26)="1"),"Yes","No")</f>
        <v>No</v>
      </c>
      <c r="J26" s="6" t="str">
        <f>IF(COUNTIF($A$2:A26,A26)&gt;1,"Duplicate - Remove","Unique")</f>
        <v>Unique</v>
      </c>
    </row>
    <row r="27" spans="1:10">
      <c r="A27">
        <f>Raw_Data!A27</f>
        <v>100004</v>
      </c>
      <c r="B27" t="str">
        <f>PROPER(TRIM(Raw_Data!B27))</f>
        <v>Resort Hotel</v>
      </c>
      <c r="C27" t="str">
        <f>PROPER(TRIM(Raw_Data!C27))</f>
        <v>Mia Wilson</v>
      </c>
      <c r="D27" t="str">
        <f>IF(TRIM(Raw_Data!D27)="","Unknown",PROPER(TRIM(Raw_Data!D27)))</f>
        <v>Portugal</v>
      </c>
      <c r="E27" s="2">
        <f>IFERROR(DATEVALUE(Raw_Data!E27),IFERROR(DATE(VALUE(RIGHT(Raw_Data!E27,4)),VALUE(LEFT(Raw_Data!E27,2)),VALUE(MID(Raw_Data!E27,4,2))),"Check Format"))</f>
        <v>2665357</v>
      </c>
      <c r="F27">
        <f>IF(ISNUMBER(Raw_Data!F27),IF(Raw_Data!F27&lt;0,"Invalid (negative)",Raw_Data!F27),"Invalid (non-numeric)")</f>
        <v>5</v>
      </c>
      <c r="G27" t="str">
        <f>PROPER(TRIM(Raw_Data!G27))</f>
        <v>Direct</v>
      </c>
      <c r="H27">
        <f>IFERROR(VALUE(SUBSTITUTE(SUBSTITUTE(Raw_Data!I27,"$",""),",","")),"Missing/Invalid")</f>
        <v>129.61000000000001</v>
      </c>
      <c r="I27" t="str">
        <f>IF(OR(UPPER(TRIM(Raw_Data!K27))="YES",UPPER(TRIM(Raw_Data!K27))="TRUE",TRIM(Raw_Data!K27)="1"),"Yes","No")</f>
        <v>No</v>
      </c>
      <c r="J27" s="6" t="str">
        <f>IF(COUNTIF($A$2:A27,A27)&gt;1,"Duplicate - Remove","Unique")</f>
        <v>Duplicate - Remove</v>
      </c>
    </row>
    <row r="28" spans="1:10">
      <c r="A28">
        <f>Raw_Data!A28</f>
        <v>100009</v>
      </c>
      <c r="B28" t="str">
        <f>PROPER(TRIM(Raw_Data!B28))</f>
        <v>Resort Hotel</v>
      </c>
      <c r="C28" t="str">
        <f>PROPER(TRIM(Raw_Data!C28))</f>
        <v>Mia Wilson</v>
      </c>
      <c r="D28" t="str">
        <f>IF(TRIM(Raw_Data!D28)="","Unknown",PROPER(TRIM(Raw_Data!D28)))</f>
        <v>United Kingdom</v>
      </c>
      <c r="E28" s="2">
        <f>IFERROR(DATEVALUE(Raw_Data!E28),IFERROR(DATE(VALUE(RIGHT(Raw_Data!E28,4)),VALUE(LEFT(Raw_Data!E28,2)),VALUE(MID(Raw_Data!E28,4,2))),"Check Format"))</f>
        <v>45785</v>
      </c>
      <c r="F28">
        <f>IF(ISNUMBER(Raw_Data!F28),IF(Raw_Data!F28&lt;0,"Invalid (negative)",Raw_Data!F28),"Invalid (non-numeric)")</f>
        <v>36</v>
      </c>
      <c r="G28" t="str">
        <f>PROPER(TRIM(Raw_Data!G28))</f>
        <v>Corporate</v>
      </c>
      <c r="H28">
        <f>IFERROR(VALUE(SUBSTITUTE(SUBSTITUTE(Raw_Data!I28,"$",""),",","")),"Missing/Invalid")</f>
        <v>200.2</v>
      </c>
      <c r="I28" t="str">
        <f>IF(OR(UPPER(TRIM(Raw_Data!K28))="YES",UPPER(TRIM(Raw_Data!K28))="TRUE",TRIM(Raw_Data!K28)="1"),"Yes","No")</f>
        <v>No</v>
      </c>
      <c r="J28" s="6" t="str">
        <f>IF(COUNTIF($A$2:A28,A28)&gt;1,"Duplicate - Remove","Unique")</f>
        <v>Unique</v>
      </c>
    </row>
    <row r="29" spans="1:10">
      <c r="A29">
        <f>Raw_Data!A29</f>
        <v>100032</v>
      </c>
      <c r="B29" t="str">
        <f>PROPER(TRIM(Raw_Data!B29))</f>
        <v>Resort Hotel</v>
      </c>
      <c r="C29" t="str">
        <f>PROPER(TRIM(Raw_Data!C29))</f>
        <v>Henry Harris</v>
      </c>
      <c r="D29" t="str">
        <f>IF(TRIM(Raw_Data!D29)="","Unknown",PROPER(TRIM(Raw_Data!D29)))</f>
        <v>France</v>
      </c>
      <c r="E29" s="2">
        <f>IFERROR(DATEVALUE(Raw_Data!E29),IFERROR(DATE(VALUE(RIGHT(Raw_Data!E29,4)),VALUE(LEFT(Raw_Data!E29,2)),VALUE(MID(Raw_Data!E29,4,2))),"Check Format"))</f>
        <v>45718</v>
      </c>
      <c r="F29">
        <f>IF(ISNUMBER(Raw_Data!F29),IF(Raw_Data!F29&lt;0,"Invalid (negative)",Raw_Data!F29),"Invalid (non-numeric)")</f>
        <v>7</v>
      </c>
      <c r="G29" t="str">
        <f>PROPER(TRIM(Raw_Data!G29))</f>
        <v>Groups</v>
      </c>
      <c r="H29">
        <f>IFERROR(VALUE(SUBSTITUTE(SUBSTITUTE(Raw_Data!I29,"$",""),",","")),"Missing/Invalid")</f>
        <v>241.33</v>
      </c>
      <c r="I29" t="str">
        <f>IF(OR(UPPER(TRIM(Raw_Data!K29))="YES",UPPER(TRIM(Raw_Data!K29))="TRUE",TRIM(Raw_Data!K29)="1"),"Yes","No")</f>
        <v>No</v>
      </c>
      <c r="J29" s="6" t="str">
        <f>IF(COUNTIF($A$2:A29,A29)&gt;1,"Duplicate - Remove","Unique")</f>
        <v>Unique</v>
      </c>
    </row>
    <row r="30" spans="1:10">
      <c r="A30">
        <f>Raw_Data!A30</f>
        <v>100038</v>
      </c>
      <c r="B30" t="str">
        <f>PROPER(TRIM(Raw_Data!B30))</f>
        <v>Resort Hotel</v>
      </c>
      <c r="C30" t="str">
        <f>PROPER(TRIM(Raw_Data!C30))</f>
        <v>Henry Harris</v>
      </c>
      <c r="D30" t="str">
        <f>IF(TRIM(Raw_Data!D30)="","Unknown",PROPER(TRIM(Raw_Data!D30)))</f>
        <v>Brazil</v>
      </c>
      <c r="E30" s="2">
        <f>IFERROR(DATEVALUE(Raw_Data!E30),IFERROR(DATE(VALUE(RIGHT(Raw_Data!E30,4)),VALUE(LEFT(Raw_Data!E30,2)),VALUE(MID(Raw_Data!E30,4,2))),"Check Format"))</f>
        <v>2677810</v>
      </c>
      <c r="F30" t="str">
        <f>IF(ISNUMBER(Raw_Data!F30),IF(Raw_Data!F30&lt;0,"Invalid (negative)",Raw_Data!F30),"Invalid (non-numeric)")</f>
        <v>Invalid (negative)</v>
      </c>
      <c r="G30" t="str">
        <f>PROPER(TRIM(Raw_Data!G30))</f>
        <v>Groups</v>
      </c>
      <c r="H30">
        <f>IFERROR(VALUE(SUBSTITUTE(SUBSTITUTE(Raw_Data!I30,"$",""),",","")),"Missing/Invalid")</f>
        <v>221.88</v>
      </c>
      <c r="I30" t="str">
        <f>IF(OR(UPPER(TRIM(Raw_Data!K30))="YES",UPPER(TRIM(Raw_Data!K30))="TRUE",TRIM(Raw_Data!K30)="1"),"Yes","No")</f>
        <v>No</v>
      </c>
      <c r="J30" s="6" t="str">
        <f>IF(COUNTIF($A$2:A30,A30)&gt;1,"Duplicate - Remove","Unique")</f>
        <v>Unique</v>
      </c>
    </row>
    <row r="31" spans="1:10">
      <c r="A31">
        <f>Raw_Data!A31</f>
        <v>100046</v>
      </c>
      <c r="B31" t="str">
        <f>PROPER(TRIM(Raw_Data!B31))</f>
        <v>Resort Hotel</v>
      </c>
      <c r="C31" t="str">
        <f>PROPER(TRIM(Raw_Data!C31))</f>
        <v>Alexander Thompson</v>
      </c>
      <c r="D31" t="str">
        <f>IF(TRIM(Raw_Data!D31)="","Unknown",PROPER(TRIM(Raw_Data!D31)))</f>
        <v>Germany</v>
      </c>
      <c r="E31" s="2">
        <f>IFERROR(DATEVALUE(Raw_Data!E31),IFERROR(DATE(VALUE(RIGHT(Raw_Data!E31,4)),VALUE(LEFT(Raw_Data!E31,2)),VALUE(MID(Raw_Data!E31,4,2))),"Check Format"))</f>
        <v>45833</v>
      </c>
      <c r="F31">
        <f>IF(ISNUMBER(Raw_Data!F31),IF(Raw_Data!F31&lt;0,"Invalid (negative)",Raw_Data!F31),"Invalid (non-numeric)")</f>
        <v>93</v>
      </c>
      <c r="G31" t="str">
        <f>PROPER(TRIM(Raw_Data!G31))</f>
        <v>Offline Ta/To</v>
      </c>
      <c r="H31">
        <f>IFERROR(VALUE(SUBSTITUTE(SUBSTITUTE(Raw_Data!I31,"$",""),",","")),"Missing/Invalid")</f>
        <v>294.88</v>
      </c>
      <c r="I31" t="str">
        <f>IF(OR(UPPER(TRIM(Raw_Data!K31))="YES",UPPER(TRIM(Raw_Data!K31))="TRUE",TRIM(Raw_Data!K31)="1"),"Yes","No")</f>
        <v>No</v>
      </c>
      <c r="J31" s="6" t="str">
        <f>IF(COUNTIF($A$2:A31,A31)&gt;1,"Duplicate - Remove","Unique")</f>
        <v>Unique</v>
      </c>
    </row>
    <row r="32" spans="1:10">
      <c r="A32">
        <f>Raw_Data!A32</f>
        <v>100012</v>
      </c>
      <c r="B32" t="str">
        <f>PROPER(TRIM(Raw_Data!B32))</f>
        <v>Resort Hotel</v>
      </c>
      <c r="C32" t="str">
        <f>PROPER(TRIM(Raw_Data!C32))</f>
        <v>Maria Silva</v>
      </c>
      <c r="D32" t="str">
        <f>IF(TRIM(Raw_Data!D32)="","Unknown",PROPER(TRIM(Raw_Data!D32)))</f>
        <v>Netherlands</v>
      </c>
      <c r="E32" s="2">
        <f>IFERROR(DATEVALUE(Raw_Data!E32),IFERROR(DATE(VALUE(RIGHT(Raw_Data!E32,4)),VALUE(LEFT(Raw_Data!E32,2)),VALUE(MID(Raw_Data!E32,4,2))),"Check Format"))</f>
        <v>45685</v>
      </c>
      <c r="F32">
        <f>IF(ISNUMBER(Raw_Data!F32),IF(Raw_Data!F32&lt;0,"Invalid (negative)",Raw_Data!F32),"Invalid (non-numeric)")</f>
        <v>24</v>
      </c>
      <c r="G32" t="str">
        <f>PROPER(TRIM(Raw_Data!G32))</f>
        <v>Online Ta</v>
      </c>
      <c r="H32">
        <f>IFERROR(VALUE(SUBSTITUTE(SUBSTITUTE(Raw_Data!I32,"$",""),",","")),"Missing/Invalid")</f>
        <v>77.67</v>
      </c>
      <c r="I32" t="str">
        <f>IF(OR(UPPER(TRIM(Raw_Data!K32))="YES",UPPER(TRIM(Raw_Data!K32))="TRUE",TRIM(Raw_Data!K32)="1"),"Yes","No")</f>
        <v>No</v>
      </c>
      <c r="J32" s="6" t="str">
        <f>IF(COUNTIF($A$2:A32,A32)&gt;1,"Duplicate - Remove","Unique")</f>
        <v>Unique</v>
      </c>
    </row>
    <row r="33" spans="1:10">
      <c r="A33">
        <f>Raw_Data!A33</f>
        <v>100044</v>
      </c>
      <c r="B33" t="str">
        <f>PROPER(TRIM(Raw_Data!B33))</f>
        <v>Resort Hotel</v>
      </c>
      <c r="C33" t="str">
        <f>PROPER(TRIM(Raw_Data!C33))</f>
        <v>Noah Williams</v>
      </c>
      <c r="D33" t="str">
        <f>IF(TRIM(Raw_Data!D33)="","Unknown",PROPER(TRIM(Raw_Data!D33)))</f>
        <v>Brazil</v>
      </c>
      <c r="E33" s="2">
        <f>IFERROR(DATEVALUE(Raw_Data!E33),IFERROR(DATE(VALUE(RIGHT(Raw_Data!E33,4)),VALUE(LEFT(Raw_Data!E33,2)),VALUE(MID(Raw_Data!E33,4,2))),"Check Format"))</f>
        <v>45817</v>
      </c>
      <c r="F33">
        <f>IF(ISNUMBER(Raw_Data!F33),IF(Raw_Data!F33&lt;0,"Invalid (negative)",Raw_Data!F33),"Invalid (non-numeric)")</f>
        <v>59</v>
      </c>
      <c r="G33" t="str">
        <f>PROPER(TRIM(Raw_Data!G33))</f>
        <v>Direct</v>
      </c>
      <c r="H33">
        <f>IFERROR(VALUE(SUBSTITUTE(SUBSTITUTE(Raw_Data!I33,"$",""),",","")),"Missing/Invalid")</f>
        <v>293.72000000000003</v>
      </c>
      <c r="I33" t="str">
        <f>IF(OR(UPPER(TRIM(Raw_Data!K33))="YES",UPPER(TRIM(Raw_Data!K33))="TRUE",TRIM(Raw_Data!K33)="1"),"Yes","No")</f>
        <v>No</v>
      </c>
      <c r="J33" s="6" t="str">
        <f>IF(COUNTIF($A$2:A33,A33)&gt;1,"Duplicate - Remove","Unique")</f>
        <v>Unique</v>
      </c>
    </row>
    <row r="34" spans="1:10">
      <c r="A34">
        <f>Raw_Data!A34</f>
        <v>100045</v>
      </c>
      <c r="B34" t="str">
        <f>PROPER(TRIM(Raw_Data!B34))</f>
        <v>Resort Hotel</v>
      </c>
      <c r="C34" t="str">
        <f>PROPER(TRIM(Raw_Data!C34))</f>
        <v>Noah Williams</v>
      </c>
      <c r="D34" t="str">
        <f>IF(TRIM(Raw_Data!D34)="","Unknown",PROPER(TRIM(Raw_Data!D34)))</f>
        <v>Ireland</v>
      </c>
      <c r="E34" s="2">
        <f>IFERROR(DATEVALUE(Raw_Data!E34),IFERROR(DATE(VALUE(RIGHT(Raw_Data!E34,4)),VALUE(LEFT(Raw_Data!E34,2)),VALUE(MID(Raw_Data!E34,4,2))),"Check Format"))</f>
        <v>2692420</v>
      </c>
      <c r="F34">
        <f>IF(ISNUMBER(Raw_Data!F34),IF(Raw_Data!F34&lt;0,"Invalid (negative)",Raw_Data!F34),"Invalid (non-numeric)")</f>
        <v>74</v>
      </c>
      <c r="G34" t="str">
        <f>PROPER(TRIM(Raw_Data!G34))</f>
        <v>Direct</v>
      </c>
      <c r="H34">
        <f>IFERROR(VALUE(SUBSTITUTE(SUBSTITUTE(Raw_Data!I34,"$",""),",","")),"Missing/Invalid")</f>
        <v>65.7</v>
      </c>
      <c r="I34" t="str">
        <f>IF(OR(UPPER(TRIM(Raw_Data!K34))="YES",UPPER(TRIM(Raw_Data!K34))="TRUE",TRIM(Raw_Data!K34)="1"),"Yes","No")</f>
        <v>Yes</v>
      </c>
      <c r="J34" s="6" t="str">
        <f>IF(COUNTIF($A$2:A34,A34)&gt;1,"Duplicate - Remove","Unique")</f>
        <v>Unique</v>
      </c>
    </row>
    <row r="35" spans="1:10">
      <c r="A35">
        <f>Raw_Data!A35</f>
        <v>100019</v>
      </c>
      <c r="B35" t="str">
        <f>PROPER(TRIM(Raw_Data!B35))</f>
        <v>Resort Hotel</v>
      </c>
      <c r="C35" t="str">
        <f>PROPER(TRIM(Raw_Data!C35))</f>
        <v>Mia Wilson</v>
      </c>
      <c r="D35" t="str">
        <f>IF(TRIM(Raw_Data!D35)="","Unknown",PROPER(TRIM(Raw_Data!D35)))</f>
        <v>Usa</v>
      </c>
      <c r="E35" s="2">
        <f>IFERROR(DATEVALUE(Raw_Data!E35),IFERROR(DATE(VALUE(RIGHT(Raw_Data!E35,4)),VALUE(LEFT(Raw_Data!E35,2)),VALUE(MID(Raw_Data!E35,4,2))),"Check Format"))</f>
        <v>2673792</v>
      </c>
      <c r="F35" t="str">
        <f>IF(ISNUMBER(Raw_Data!F35),IF(Raw_Data!F35&lt;0,"Invalid (negative)",Raw_Data!F35),"Invalid (non-numeric)")</f>
        <v>Invalid (negative)</v>
      </c>
      <c r="G35" t="str">
        <f>PROPER(TRIM(Raw_Data!G35))</f>
        <v>Online Ta</v>
      </c>
      <c r="H35">
        <f>IFERROR(VALUE(SUBSTITUTE(SUBSTITUTE(Raw_Data!I35,"$",""),",","")),"Missing/Invalid")</f>
        <v>191.85</v>
      </c>
      <c r="I35" t="str">
        <f>IF(OR(UPPER(TRIM(Raw_Data!K35))="YES",UPPER(TRIM(Raw_Data!K35))="TRUE",TRIM(Raw_Data!K35)="1"),"Yes","No")</f>
        <v>No</v>
      </c>
      <c r="J35" s="6" t="str">
        <f>IF(COUNTIF($A$2:A35,A35)&gt;1,"Duplicate - Remove","Unique")</f>
        <v>Unique</v>
      </c>
    </row>
    <row r="36" spans="1:10">
      <c r="A36">
        <f>Raw_Data!A36</f>
        <v>100001</v>
      </c>
      <c r="B36" t="str">
        <f>PROPER(TRIM(Raw_Data!B36))</f>
        <v>Resort Hotel</v>
      </c>
      <c r="C36" t="str">
        <f>PROPER(TRIM(Raw_Data!C36))</f>
        <v>John Smith</v>
      </c>
      <c r="D36" t="str">
        <f>IF(TRIM(Raw_Data!D36)="","Unknown",PROPER(TRIM(Raw_Data!D36)))</f>
        <v>Unknown</v>
      </c>
      <c r="E36" s="2">
        <f>IFERROR(DATEVALUE(Raw_Data!E36),IFERROR(DATE(VALUE(RIGHT(Raw_Data!E36,4)),VALUE(LEFT(Raw_Data!E36,2)),VALUE(MID(Raw_Data!E36,4,2))),"Check Format"))</f>
        <v>45871</v>
      </c>
      <c r="F36">
        <f>IF(ISNUMBER(Raw_Data!F36),IF(Raw_Data!F36&lt;0,"Invalid (negative)",Raw_Data!F36),"Invalid (non-numeric)")</f>
        <v>18</v>
      </c>
      <c r="G36" t="str">
        <f>PROPER(TRIM(Raw_Data!G36))</f>
        <v>Online Ta</v>
      </c>
      <c r="H36">
        <f>IFERROR(VALUE(SUBSTITUTE(SUBSTITUTE(Raw_Data!I36,"$",""),",","")),"Missing/Invalid")</f>
        <v>82.6</v>
      </c>
      <c r="I36" t="str">
        <f>IF(OR(UPPER(TRIM(Raw_Data!K36))="YES",UPPER(TRIM(Raw_Data!K36))="TRUE",TRIM(Raw_Data!K36)="1"),"Yes","No")</f>
        <v>Yes</v>
      </c>
      <c r="J36" s="6" t="str">
        <f>IF(COUNTIF($A$2:A36,A36)&gt;1,"Duplicate - Remove","Unique")</f>
        <v>Unique</v>
      </c>
    </row>
    <row r="37" spans="1:10">
      <c r="A37">
        <f>Raw_Data!A37</f>
        <v>100040</v>
      </c>
      <c r="B37" t="str">
        <f>PROPER(TRIM(Raw_Data!B37))</f>
        <v>City Hotel</v>
      </c>
      <c r="C37" t="str">
        <f>PROPER(TRIM(Raw_Data!C37))</f>
        <v>James Anderson</v>
      </c>
      <c r="D37" t="str">
        <f>IF(TRIM(Raw_Data!D37)="","Unknown",PROPER(TRIM(Raw_Data!D37)))</f>
        <v>Italy</v>
      </c>
      <c r="E37" s="2">
        <f>IFERROR(DATEVALUE(Raw_Data!E37),IFERROR(DATE(VALUE(RIGHT(Raw_Data!E37,4)),VALUE(LEFT(Raw_Data!E37,2)),VALUE(MID(Raw_Data!E37,4,2))),"Check Format"))</f>
        <v>2691322</v>
      </c>
      <c r="F37">
        <f>IF(ISNUMBER(Raw_Data!F37),IF(Raw_Data!F37&lt;0,"Invalid (negative)",Raw_Data!F37),"Invalid (non-numeric)")</f>
        <v>106</v>
      </c>
      <c r="G37" t="str">
        <f>PROPER(TRIM(Raw_Data!G37))</f>
        <v>Online Ta</v>
      </c>
      <c r="H37">
        <f>IFERROR(VALUE(SUBSTITUTE(SUBSTITUTE(Raw_Data!I37,"$",""),",","")),"Missing/Invalid")</f>
        <v>248.77</v>
      </c>
      <c r="I37" t="str">
        <f>IF(OR(UPPER(TRIM(Raw_Data!K37))="YES",UPPER(TRIM(Raw_Data!K37))="TRUE",TRIM(Raw_Data!K37)="1"),"Yes","No")</f>
        <v>No</v>
      </c>
      <c r="J37" s="6" t="str">
        <f>IF(COUNTIF($A$2:A37,A37)&gt;1,"Duplicate - Remove","Unique")</f>
        <v>Unique</v>
      </c>
    </row>
    <row r="38" spans="1:10">
      <c r="A38">
        <f>Raw_Data!A38</f>
        <v>100006</v>
      </c>
      <c r="B38" t="str">
        <f>PROPER(TRIM(Raw_Data!B38))</f>
        <v>Resort Hotel</v>
      </c>
      <c r="C38" t="str">
        <f>PROPER(TRIM(Raw_Data!C38))</f>
        <v>Henry Harris</v>
      </c>
      <c r="D38" t="str">
        <f>IF(TRIM(Raw_Data!D38)="","Unknown",PROPER(TRIM(Raw_Data!D38)))</f>
        <v>Germany</v>
      </c>
      <c r="E38" s="2">
        <f>IFERROR(DATEVALUE(Raw_Data!E38),IFERROR(DATE(VALUE(RIGHT(Raw_Data!E38,4)),VALUE(LEFT(Raw_Data!E38,2)),VALUE(MID(Raw_Data!E38,4,2))),"Check Format"))</f>
        <v>45819</v>
      </c>
      <c r="F38">
        <f>IF(ISNUMBER(Raw_Data!F38),IF(Raw_Data!F38&lt;0,"Invalid (negative)",Raw_Data!F38),"Invalid (non-numeric)")</f>
        <v>15</v>
      </c>
      <c r="G38" t="str">
        <f>PROPER(TRIM(Raw_Data!G38))</f>
        <v>Direct</v>
      </c>
      <c r="H38">
        <f>IFERROR(VALUE(SUBSTITUTE(SUBSTITUTE(Raw_Data!I38,"$",""),",","")),"Missing/Invalid")</f>
        <v>101.12</v>
      </c>
      <c r="I38" t="str">
        <f>IF(OR(UPPER(TRIM(Raw_Data!K38))="YES",UPPER(TRIM(Raw_Data!K38))="TRUE",TRIM(Raw_Data!K38)="1"),"Yes","No")</f>
        <v>No</v>
      </c>
      <c r="J38" s="6" t="str">
        <f>IF(COUNTIF($A$2:A38,A38)&gt;1,"Duplicate - Remove","Unique")</f>
        <v>Unique</v>
      </c>
    </row>
    <row r="39" spans="1:10">
      <c r="A39">
        <f>Raw_Data!A39</f>
        <v>100024</v>
      </c>
      <c r="B39" t="str">
        <f>PROPER(TRIM(Raw_Data!B39))</f>
        <v>Resort Hotel</v>
      </c>
      <c r="C39" t="str">
        <f>PROPER(TRIM(Raw_Data!C39))</f>
        <v>Amelia Martin</v>
      </c>
      <c r="D39" t="str">
        <f>IF(TRIM(Raw_Data!D39)="","Unknown",PROPER(TRIM(Raw_Data!D39)))</f>
        <v>Ireland</v>
      </c>
      <c r="E39" s="2">
        <f>IFERROR(DATEVALUE(Raw_Data!E39),IFERROR(DATE(VALUE(RIGHT(Raw_Data!E39,4)),VALUE(LEFT(Raw_Data!E39,2)),VALUE(MID(Raw_Data!E39,4,2))),"Check Format"))</f>
        <v>45748</v>
      </c>
      <c r="F39">
        <f>IF(ISNUMBER(Raw_Data!F39),IF(Raw_Data!F39&lt;0,"Invalid (negative)",Raw_Data!F39),"Invalid (non-numeric)")</f>
        <v>46</v>
      </c>
      <c r="G39" t="str">
        <f>PROPER(TRIM(Raw_Data!G39))</f>
        <v>Direct</v>
      </c>
      <c r="H39">
        <f>IFERROR(VALUE(SUBSTITUTE(SUBSTITUTE(Raw_Data!I39,"$",""),",","")),"Missing/Invalid")</f>
        <v>281.89999999999998</v>
      </c>
      <c r="I39" t="str">
        <f>IF(OR(UPPER(TRIM(Raw_Data!K39))="YES",UPPER(TRIM(Raw_Data!K39))="TRUE",TRIM(Raw_Data!K39)="1"),"Yes","No")</f>
        <v>No</v>
      </c>
      <c r="J39" s="6" t="str">
        <f>IF(COUNTIF($A$2:A39,A39)&gt;1,"Duplicate - Remove","Unique")</f>
        <v>Unique</v>
      </c>
    </row>
    <row r="40" spans="1:10">
      <c r="A40">
        <f>Raw_Data!A40</f>
        <v>100036</v>
      </c>
      <c r="B40" t="str">
        <f>PROPER(TRIM(Raw_Data!B40))</f>
        <v>Resort Hotel</v>
      </c>
      <c r="C40" t="str">
        <f>PROPER(TRIM(Raw_Data!C40))</f>
        <v>James Anderson</v>
      </c>
      <c r="D40" t="str">
        <f>IF(TRIM(Raw_Data!D40)="","Unknown",PROPER(TRIM(Raw_Data!D40)))</f>
        <v>Italy</v>
      </c>
      <c r="E40" s="2">
        <f>IFERROR(DATEVALUE(Raw_Data!E40),IFERROR(DATE(VALUE(RIGHT(Raw_Data!E40,4)),VALUE(LEFT(Raw_Data!E40,2)),VALUE(MID(Raw_Data!E40,4,2))),"Check Format"))</f>
        <v>2691322</v>
      </c>
      <c r="F40">
        <f>IF(ISNUMBER(Raw_Data!F40),IF(Raw_Data!F40&lt;0,"Invalid (negative)",Raw_Data!F40),"Invalid (non-numeric)")</f>
        <v>4</v>
      </c>
      <c r="G40" t="str">
        <f>PROPER(TRIM(Raw_Data!G40))</f>
        <v>Online Ta</v>
      </c>
      <c r="H40">
        <f>IFERROR(VALUE(SUBSTITUTE(SUBSTITUTE(Raw_Data!I40,"$",""),",","")),"Missing/Invalid")</f>
        <v>310.10000000000002</v>
      </c>
      <c r="I40" t="str">
        <f>IF(OR(UPPER(TRIM(Raw_Data!K40))="YES",UPPER(TRIM(Raw_Data!K40))="TRUE",TRIM(Raw_Data!K40)="1"),"Yes","No")</f>
        <v>No</v>
      </c>
      <c r="J40" s="6" t="str">
        <f>IF(COUNTIF($A$2:A40,A40)&gt;1,"Duplicate - Remove","Unique")</f>
        <v>Unique</v>
      </c>
    </row>
    <row r="41" spans="1:10">
      <c r="A41">
        <f>Raw_Data!A41</f>
        <v>100026</v>
      </c>
      <c r="B41" t="str">
        <f>PROPER(TRIM(Raw_Data!B41))</f>
        <v>Resort Hotel</v>
      </c>
      <c r="C41" t="str">
        <f>PROPER(TRIM(Raw_Data!C41))</f>
        <v>Ethan Davis</v>
      </c>
      <c r="D41" t="str">
        <f>IF(TRIM(Raw_Data!D41)="","Unknown",PROPER(TRIM(Raw_Data!D41)))</f>
        <v>Spain</v>
      </c>
      <c r="E41" s="2">
        <f>IFERROR(DATEVALUE(Raw_Data!E41),IFERROR(DATE(VALUE(RIGHT(Raw_Data!E41,4)),VALUE(LEFT(Raw_Data!E41,2)),VALUE(MID(Raw_Data!E41,4,2))),"Check Format"))</f>
        <v>45722</v>
      </c>
      <c r="F41">
        <f>IF(ISNUMBER(Raw_Data!F41),IF(Raw_Data!F41&lt;0,"Invalid (negative)",Raw_Data!F41),"Invalid (non-numeric)")</f>
        <v>100</v>
      </c>
      <c r="G41" t="str">
        <f>PROPER(TRIM(Raw_Data!G41))</f>
        <v>Online Ta</v>
      </c>
      <c r="H41">
        <f>IFERROR(VALUE(SUBSTITUTE(SUBSTITUTE(Raw_Data!I41,"$",""),",","")),"Missing/Invalid")</f>
        <v>306.89999999999998</v>
      </c>
      <c r="I41" t="str">
        <f>IF(OR(UPPER(TRIM(Raw_Data!K41))="YES",UPPER(TRIM(Raw_Data!K41))="TRUE",TRIM(Raw_Data!K41)="1"),"Yes","No")</f>
        <v>No</v>
      </c>
      <c r="J41" s="6" t="str">
        <f>IF(COUNTIF($A$2:A41,A41)&gt;1,"Duplicate - Remove","Unique")</f>
        <v>Duplicate - Remove</v>
      </c>
    </row>
    <row r="42" spans="1:10">
      <c r="A42">
        <f>Raw_Data!A42</f>
        <v>100015</v>
      </c>
      <c r="B42" t="str">
        <f>PROPER(TRIM(Raw_Data!B42))</f>
        <v>City Hotel</v>
      </c>
      <c r="C42" t="str">
        <f>PROPER(TRIM(Raw_Data!C42))</f>
        <v>Maria Silva</v>
      </c>
      <c r="D42" t="str">
        <f>IF(TRIM(Raw_Data!D42)="","Unknown",PROPER(TRIM(Raw_Data!D42)))</f>
        <v>Portugal</v>
      </c>
      <c r="E42" s="2">
        <f>IFERROR(DATEVALUE(Raw_Data!E42),IFERROR(DATE(VALUE(RIGHT(Raw_Data!E42,4)),VALUE(LEFT(Raw_Data!E42,2)),VALUE(MID(Raw_Data!E42,4,2))),"Check Format"))</f>
        <v>45741</v>
      </c>
      <c r="F42">
        <f>IF(ISNUMBER(Raw_Data!F42),IF(Raw_Data!F42&lt;0,"Invalid (negative)",Raw_Data!F42),"Invalid (non-numeric)")</f>
        <v>17</v>
      </c>
      <c r="G42" t="str">
        <f>PROPER(TRIM(Raw_Data!G42))</f>
        <v>Direct</v>
      </c>
      <c r="H42" t="str">
        <f>IFERROR(VALUE(SUBSTITUTE(SUBSTITUTE(Raw_Data!I42,"$",""),",","")),"Missing/Invalid")</f>
        <v>Missing/Invalid</v>
      </c>
      <c r="I42" t="str">
        <f>IF(OR(UPPER(TRIM(Raw_Data!K42))="YES",UPPER(TRIM(Raw_Data!K42))="TRUE",TRIM(Raw_Data!K42)="1"),"Yes","No")</f>
        <v>No</v>
      </c>
      <c r="J42" s="6" t="str">
        <f>IF(COUNTIF($A$2:A42,A42)&gt;1,"Duplicate - Remove","Unique")</f>
        <v>Unique</v>
      </c>
    </row>
    <row r="43" spans="1:10">
      <c r="A43">
        <f>Raw_Data!A43</f>
        <v>100010</v>
      </c>
      <c r="B43" t="str">
        <f>PROPER(TRIM(Raw_Data!B43))</f>
        <v>City Hotel</v>
      </c>
      <c r="C43" t="str">
        <f>PROPER(TRIM(Raw_Data!C43))</f>
        <v>Liam O'Brien</v>
      </c>
      <c r="D43" t="str">
        <f>IF(TRIM(Raw_Data!D43)="","Unknown",PROPER(TRIM(Raw_Data!D43)))</f>
        <v>Spain</v>
      </c>
      <c r="E43" s="2">
        <f>IFERROR(DATEVALUE(Raw_Data!E43),IFERROR(DATE(VALUE(RIGHT(Raw_Data!E43,4)),VALUE(LEFT(Raw_Data!E43,2)),VALUE(MID(Raw_Data!E43,4,2))),"Check Format"))</f>
        <v>2658052</v>
      </c>
      <c r="F43">
        <f>IF(ISNUMBER(Raw_Data!F43),IF(Raw_Data!F43&lt;0,"Invalid (negative)",Raw_Data!F43),"Invalid (non-numeric)")</f>
        <v>69</v>
      </c>
      <c r="G43" t="str">
        <f>PROPER(TRIM(Raw_Data!G43))</f>
        <v>Corporate</v>
      </c>
      <c r="H43">
        <f>IFERROR(VALUE(SUBSTITUTE(SUBSTITUTE(Raw_Data!I43,"$",""),",","")),"Missing/Invalid")</f>
        <v>169.69</v>
      </c>
      <c r="I43" t="str">
        <f>IF(OR(UPPER(TRIM(Raw_Data!K43))="YES",UPPER(TRIM(Raw_Data!K43))="TRUE",TRIM(Raw_Data!K43)="1"),"Yes","No")</f>
        <v>No</v>
      </c>
      <c r="J43" s="6" t="str">
        <f>IF(COUNTIF($A$2:A43,A43)&gt;1,"Duplicate - Remove","Unique")</f>
        <v>Unique</v>
      </c>
    </row>
    <row r="44" spans="1:10">
      <c r="A44">
        <f>Raw_Data!A44</f>
        <v>100005</v>
      </c>
      <c r="B44" t="str">
        <f>PROPER(TRIM(Raw_Data!B44))</f>
        <v>City Hotel</v>
      </c>
      <c r="C44" t="str">
        <f>PROPER(TRIM(Raw_Data!C44))</f>
        <v>Amelia Martin</v>
      </c>
      <c r="D44" t="str">
        <f>IF(TRIM(Raw_Data!D44)="","Unknown",PROPER(TRIM(Raw_Data!D44)))</f>
        <v>Ireland</v>
      </c>
      <c r="E44" s="2">
        <f>IFERROR(DATEVALUE(Raw_Data!E44),IFERROR(DATE(VALUE(RIGHT(Raw_Data!E44,4)),VALUE(LEFT(Raw_Data!E44,2)),VALUE(MID(Raw_Data!E44,4,2))),"Check Format"))</f>
        <v>45724</v>
      </c>
      <c r="F44">
        <f>IF(ISNUMBER(Raw_Data!F44),IF(Raw_Data!F44&lt;0,"Invalid (negative)",Raw_Data!F44),"Invalid (non-numeric)")</f>
        <v>18</v>
      </c>
      <c r="G44" t="str">
        <f>PROPER(TRIM(Raw_Data!G44))</f>
        <v>Groups</v>
      </c>
      <c r="H44">
        <f>IFERROR(VALUE(SUBSTITUTE(SUBSTITUTE(Raw_Data!I44,"$",""),",","")),"Missing/Invalid")</f>
        <v>83.64</v>
      </c>
      <c r="I44" t="str">
        <f>IF(OR(UPPER(TRIM(Raw_Data!K44))="YES",UPPER(TRIM(Raw_Data!K44))="TRUE",TRIM(Raw_Data!K44)="1"),"Yes","No")</f>
        <v>No</v>
      </c>
      <c r="J44" s="6" t="str">
        <f>IF(COUNTIF($A$2:A44,A44)&gt;1,"Duplicate - Remove","Unique")</f>
        <v>Unique</v>
      </c>
    </row>
    <row r="45" spans="1:10">
      <c r="A45">
        <f>Raw_Data!A45</f>
        <v>100030</v>
      </c>
      <c r="B45" t="str">
        <f>PROPER(TRIM(Raw_Data!B45))</f>
        <v>Resort Hotel</v>
      </c>
      <c r="C45" t="str">
        <f>PROPER(TRIM(Raw_Data!C45))</f>
        <v>Anna Muller</v>
      </c>
      <c r="D45" t="str">
        <f>IF(TRIM(Raw_Data!D45)="","Unknown",PROPER(TRIM(Raw_Data!D45)))</f>
        <v>Spain</v>
      </c>
      <c r="E45" s="2">
        <f>IFERROR(DATEVALUE(Raw_Data!E45),IFERROR(DATE(VALUE(RIGHT(Raw_Data!E45,4)),VALUE(LEFT(Raw_Data!E45,2)),VALUE(MID(Raw_Data!E45,4,2))),"Check Format"))</f>
        <v>45822</v>
      </c>
      <c r="F45">
        <f>IF(ISNUMBER(Raw_Data!F45),IF(Raw_Data!F45&lt;0,"Invalid (negative)",Raw_Data!F45),"Invalid (non-numeric)")</f>
        <v>63</v>
      </c>
      <c r="G45" t="str">
        <f>PROPER(TRIM(Raw_Data!G45))</f>
        <v>Groups</v>
      </c>
      <c r="H45">
        <f>IFERROR(VALUE(SUBSTITUTE(SUBSTITUTE(Raw_Data!I45,"$",""),",","")),"Missing/Invalid")</f>
        <v>239.56</v>
      </c>
      <c r="I45" t="str">
        <f>IF(OR(UPPER(TRIM(Raw_Data!K45))="YES",UPPER(TRIM(Raw_Data!K45))="TRUE",TRIM(Raw_Data!K45)="1"),"Yes","No")</f>
        <v>No</v>
      </c>
      <c r="J45" s="6" t="str">
        <f>IF(COUNTIF($A$2:A45,A45)&gt;1,"Duplicate - Remove","Unique")</f>
        <v>Unique</v>
      </c>
    </row>
    <row r="46" spans="1:10">
      <c r="A46">
        <f>Raw_Data!A46</f>
        <v>100008</v>
      </c>
      <c r="B46" t="str">
        <f>PROPER(TRIM(Raw_Data!B46))</f>
        <v>City Hotel</v>
      </c>
      <c r="C46" t="str">
        <f>PROPER(TRIM(Raw_Data!C46))</f>
        <v>Emma Johnson</v>
      </c>
      <c r="D46" t="str">
        <f>IF(TRIM(Raw_Data!D46)="","Unknown",PROPER(TRIM(Raw_Data!D46)))</f>
        <v>Unknown</v>
      </c>
      <c r="E46" s="2">
        <f>IFERROR(DATEVALUE(Raw_Data!E46),IFERROR(DATE(VALUE(RIGHT(Raw_Data!E46,4)),VALUE(LEFT(Raw_Data!E46,2)),VALUE(MID(Raw_Data!E46,4,2))),"Check Format"))</f>
        <v>45831</v>
      </c>
      <c r="F46">
        <f>IF(ISNUMBER(Raw_Data!F46),IF(Raw_Data!F46&lt;0,"Invalid (negative)",Raw_Data!F46),"Invalid (non-numeric)")</f>
        <v>26</v>
      </c>
      <c r="G46" t="str">
        <f>PROPER(TRIM(Raw_Data!G46))</f>
        <v>Direct</v>
      </c>
      <c r="H46" t="str">
        <f>IFERROR(VALUE(SUBSTITUTE(SUBSTITUTE(Raw_Data!I46,"$",""),",","")),"Missing/Invalid")</f>
        <v>Missing/Invalid</v>
      </c>
      <c r="I46" t="str">
        <f>IF(OR(UPPER(TRIM(Raw_Data!K46))="YES",UPPER(TRIM(Raw_Data!K46))="TRUE",TRIM(Raw_Data!K46)="1"),"Yes","No")</f>
        <v>No</v>
      </c>
      <c r="J46" s="6" t="str">
        <f>IF(COUNTIF($A$2:A46,A46)&gt;1,"Duplicate - Remove","Unique")</f>
        <v>Unique</v>
      </c>
    </row>
    <row r="47" spans="1:10">
      <c r="A47">
        <f>Raw_Data!A47</f>
        <v>100022</v>
      </c>
      <c r="B47" t="str">
        <f>PROPER(TRIM(Raw_Data!B47))</f>
        <v>Resort Hotel</v>
      </c>
      <c r="C47" t="str">
        <f>PROPER(TRIM(Raw_Data!C47))</f>
        <v>Liam O'Brien</v>
      </c>
      <c r="D47" t="str">
        <f>IF(TRIM(Raw_Data!D47)="","Unknown",PROPER(TRIM(Raw_Data!D47)))</f>
        <v>Brazil</v>
      </c>
      <c r="E47" s="2">
        <f>IFERROR(DATEVALUE(Raw_Data!E47),IFERROR(DATE(VALUE(RIGHT(Raw_Data!E47,4)),VALUE(LEFT(Raw_Data!E47,2)),VALUE(MID(Raw_Data!E47,4,2))),"Check Format"))</f>
        <v>2665001</v>
      </c>
      <c r="F47">
        <f>IF(ISNUMBER(Raw_Data!F47),IF(Raw_Data!F47&lt;0,"Invalid (negative)",Raw_Data!F47),"Invalid (non-numeric)")</f>
        <v>60</v>
      </c>
      <c r="G47" t="str">
        <f>PROPER(TRIM(Raw_Data!G47))</f>
        <v>Groups</v>
      </c>
      <c r="H47">
        <f>IFERROR(VALUE(SUBSTITUTE(SUBSTITUTE(Raw_Data!I47,"$",""),",","")),"Missing/Invalid")</f>
        <v>214.82</v>
      </c>
      <c r="I47" t="str">
        <f>IF(OR(UPPER(TRIM(Raw_Data!K47))="YES",UPPER(TRIM(Raw_Data!K47))="TRUE",TRIM(Raw_Data!K47)="1"),"Yes","No")</f>
        <v>No</v>
      </c>
      <c r="J47" s="6" t="str">
        <f>IF(COUNTIF($A$2:A47,A47)&gt;1,"Duplicate - Remove","Unique")</f>
        <v>Unique</v>
      </c>
    </row>
    <row r="48" spans="1:10">
      <c r="A48">
        <f>Raw_Data!A48</f>
        <v>100019</v>
      </c>
      <c r="B48" t="str">
        <f>PROPER(TRIM(Raw_Data!B48))</f>
        <v>Resort Hotel</v>
      </c>
      <c r="C48" t="str">
        <f>PROPER(TRIM(Raw_Data!C48))</f>
        <v>Mia Wilson</v>
      </c>
      <c r="D48" t="str">
        <f>IF(TRIM(Raw_Data!D48)="","Unknown",PROPER(TRIM(Raw_Data!D48)))</f>
        <v>Usa</v>
      </c>
      <c r="E48" s="2">
        <f>IFERROR(DATEVALUE(Raw_Data!E48),IFERROR(DATE(VALUE(RIGHT(Raw_Data!E48,4)),VALUE(LEFT(Raw_Data!E48,2)),VALUE(MID(Raw_Data!E48,4,2))),"Check Format"))</f>
        <v>2673792</v>
      </c>
      <c r="F48" t="str">
        <f>IF(ISNUMBER(Raw_Data!F48),IF(Raw_Data!F48&lt;0,"Invalid (negative)",Raw_Data!F48),"Invalid (non-numeric)")</f>
        <v>Invalid (negative)</v>
      </c>
      <c r="G48" t="str">
        <f>PROPER(TRIM(Raw_Data!G48))</f>
        <v>Online Ta</v>
      </c>
      <c r="H48">
        <f>IFERROR(VALUE(SUBSTITUTE(SUBSTITUTE(Raw_Data!I48,"$",""),",","")),"Missing/Invalid")</f>
        <v>191.85</v>
      </c>
      <c r="I48" t="str">
        <f>IF(OR(UPPER(TRIM(Raw_Data!K48))="YES",UPPER(TRIM(Raw_Data!K48))="TRUE",TRIM(Raw_Data!K48)="1"),"Yes","No")</f>
        <v>No</v>
      </c>
      <c r="J48" s="6" t="str">
        <f>IF(COUNTIF($A$2:A48,A48)&gt;1,"Duplicate - Remove","Unique")</f>
        <v>Duplicate - Remove</v>
      </c>
    </row>
    <row r="49" spans="1:10">
      <c r="A49">
        <f>Raw_Data!A49</f>
        <v>100031</v>
      </c>
      <c r="B49" t="str">
        <f>PROPER(TRIM(Raw_Data!B49))</f>
        <v>City Hotel</v>
      </c>
      <c r="C49" t="str">
        <f>PROPER(TRIM(Raw_Data!C49))</f>
        <v>Olivia Brown</v>
      </c>
      <c r="D49" t="str">
        <f>IF(TRIM(Raw_Data!D49)="","Unknown",PROPER(TRIM(Raw_Data!D49)))</f>
        <v>Germany</v>
      </c>
      <c r="E49" s="2">
        <f>IFERROR(DATEVALUE(Raw_Data!E49),IFERROR(DATE(VALUE(RIGHT(Raw_Data!E49,4)),VALUE(LEFT(Raw_Data!E49,2)),VALUE(MID(Raw_Data!E49,4,2))),"Check Format"))</f>
        <v>2668653</v>
      </c>
      <c r="F49">
        <f>IF(ISNUMBER(Raw_Data!F49),IF(Raw_Data!F49&lt;0,"Invalid (negative)",Raw_Data!F49),"Invalid (non-numeric)")</f>
        <v>16</v>
      </c>
      <c r="G49" t="str">
        <f>PROPER(TRIM(Raw_Data!G49))</f>
        <v>Offline Ta/To</v>
      </c>
      <c r="H49">
        <f>IFERROR(VALUE(SUBSTITUTE(SUBSTITUTE(Raw_Data!I49,"$",""),",","")),"Missing/Invalid")</f>
        <v>91.08</v>
      </c>
      <c r="I49" t="str">
        <f>IF(OR(UPPER(TRIM(Raw_Data!K49))="YES",UPPER(TRIM(Raw_Data!K49))="TRUE",TRIM(Raw_Data!K49)="1"),"Yes","No")</f>
        <v>No</v>
      </c>
      <c r="J49" s="6" t="str">
        <f>IF(COUNTIF($A$2:A49,A49)&gt;1,"Duplicate - Remove","Unique")</f>
        <v>Unique</v>
      </c>
    </row>
    <row r="50" spans="1:10">
      <c r="A50">
        <f>Raw_Data!A50</f>
        <v>100017</v>
      </c>
      <c r="B50" t="str">
        <f>PROPER(TRIM(Raw_Data!B50))</f>
        <v>Resort Hotel</v>
      </c>
      <c r="C50" t="str">
        <f>PROPER(TRIM(Raw_Data!C50))</f>
        <v>Olivia Brown</v>
      </c>
      <c r="D50" t="str">
        <f>IF(TRIM(Raw_Data!D50)="","Unknown",PROPER(TRIM(Raw_Data!D50)))</f>
        <v>France</v>
      </c>
      <c r="E50" s="2">
        <f>IFERROR(DATEVALUE(Raw_Data!E50),IFERROR(DATE(VALUE(RIGHT(Raw_Data!E50,4)),VALUE(LEFT(Raw_Data!E50,2)),VALUE(MID(Raw_Data!E50,4,2))),"Check Format"))</f>
        <v>45753</v>
      </c>
      <c r="F50">
        <f>IF(ISNUMBER(Raw_Data!F50),IF(Raw_Data!F50&lt;0,"Invalid (negative)",Raw_Data!F50),"Invalid (non-numeric)")</f>
        <v>49</v>
      </c>
      <c r="G50" t="str">
        <f>PROPER(TRIM(Raw_Data!G50))</f>
        <v>Online Ta</v>
      </c>
      <c r="H50">
        <f>IFERROR(VALUE(SUBSTITUTE(SUBSTITUTE(Raw_Data!I50,"$",""),",","")),"Missing/Invalid")</f>
        <v>117.83</v>
      </c>
      <c r="I50" t="str">
        <f>IF(OR(UPPER(TRIM(Raw_Data!K50))="YES",UPPER(TRIM(Raw_Data!K50))="TRUE",TRIM(Raw_Data!K50)="1"),"Yes","No")</f>
        <v>No</v>
      </c>
      <c r="J50" s="6" t="str">
        <f>IF(COUNTIF($A$2:A50,A50)&gt;1,"Duplicate - Remove","Unique")</f>
        <v>Unique</v>
      </c>
    </row>
    <row r="51" spans="1:10">
      <c r="A51">
        <f>Raw_Data!A51</f>
        <v>100011</v>
      </c>
      <c r="B51" t="str">
        <f>PROPER(TRIM(Raw_Data!B51))</f>
        <v>City Hotel</v>
      </c>
      <c r="C51" t="str">
        <f>PROPER(TRIM(Raw_Data!C51))</f>
        <v>Emma Johnson</v>
      </c>
      <c r="D51" t="str">
        <f>IF(TRIM(Raw_Data!D51)="","Unknown",PROPER(TRIM(Raw_Data!D51)))</f>
        <v>Ireland</v>
      </c>
      <c r="E51" s="2">
        <f>IFERROR(DATEVALUE(Raw_Data!E51),IFERROR(DATE(VALUE(RIGHT(Raw_Data!E51,4)),VALUE(LEFT(Raw_Data!E51,2)),VALUE(MID(Raw_Data!E51,4,2))),"Check Format"))</f>
        <v>45809</v>
      </c>
      <c r="F51">
        <f>IF(ISNUMBER(Raw_Data!F51),IF(Raw_Data!F51&lt;0,"Invalid (negative)",Raw_Data!F51),"Invalid (non-numeric)")</f>
        <v>49</v>
      </c>
      <c r="G51" t="str">
        <f>PROPER(TRIM(Raw_Data!G51))</f>
        <v>Online Ta</v>
      </c>
      <c r="H51" t="str">
        <f>IFERROR(VALUE(SUBSTITUTE(SUBSTITUTE(Raw_Data!I51,"$",""),",","")),"Missing/Invalid")</f>
        <v>Missing/Invalid</v>
      </c>
      <c r="I51" t="str">
        <f>IF(OR(UPPER(TRIM(Raw_Data!K51))="YES",UPPER(TRIM(Raw_Data!K51))="TRUE",TRIM(Raw_Data!K51)="1"),"Yes","No")</f>
        <v>No</v>
      </c>
      <c r="J51" s="6" t="str">
        <f>IF(COUNTIF($A$2:A51,A51)&gt;1,"Duplicate - Remove","Unique")</f>
        <v>Duplicate - Remove</v>
      </c>
    </row>
    <row r="52" spans="1:10">
      <c r="A52">
        <f>Raw_Data!A52</f>
        <v>100018</v>
      </c>
      <c r="B52" t="str">
        <f>PROPER(TRIM(Raw_Data!B52))</f>
        <v>Resort Hotel</v>
      </c>
      <c r="C52" t="str">
        <f>PROPER(TRIM(Raw_Data!C52))</f>
        <v>Liam O'Brien</v>
      </c>
      <c r="D52" t="str">
        <f>IF(TRIM(Raw_Data!D52)="","Unknown",PROPER(TRIM(Raw_Data!D52)))</f>
        <v>Germany</v>
      </c>
      <c r="E52" s="2">
        <f>IFERROR(DATEVALUE(Raw_Data!E52),IFERROR(DATE(VALUE(RIGHT(Raw_Data!E52,4)),VALUE(LEFT(Raw_Data!E52,2)),VALUE(MID(Raw_Data!E52,4,2))),"Check Format"))</f>
        <v>45707</v>
      </c>
      <c r="F52" t="str">
        <f>IF(ISNUMBER(Raw_Data!F52),IF(Raw_Data!F52&lt;0,"Invalid (negative)",Raw_Data!F52),"Invalid (non-numeric)")</f>
        <v>Invalid (non-numeric)</v>
      </c>
      <c r="G52" t="str">
        <f>PROPER(TRIM(Raw_Data!G52))</f>
        <v>Online Ta</v>
      </c>
      <c r="H52">
        <f>IFERROR(VALUE(SUBSTITUTE(SUBSTITUTE(Raw_Data!I52,"$",""),",","")),"Missing/Invalid")</f>
        <v>215.11</v>
      </c>
      <c r="I52" t="str">
        <f>IF(OR(UPPER(TRIM(Raw_Data!K52))="YES",UPPER(TRIM(Raw_Data!K52))="TRUE",TRIM(Raw_Data!K52)="1"),"Yes","No")</f>
        <v>No</v>
      </c>
      <c r="J52" s="6" t="str">
        <f>IF(COUNTIF($A$2:A52,A52)&gt;1,"Duplicate - Remove","Unique")</f>
        <v>Unique</v>
      </c>
    </row>
  </sheetData>
  <conditionalFormatting sqref="J2:J52">
    <cfRule type="expression" dxfId="6" priority="1">
      <formula>J2="Duplicate - Remove"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M47"/>
  <sheetViews>
    <sheetView workbookViewId="0">
      <selection activeCell="D57" sqref="D57"/>
    </sheetView>
  </sheetViews>
  <sheetFormatPr defaultRowHeight="15"/>
  <cols>
    <col min="1" max="1" width="10.42578125" bestFit="1" customWidth="1"/>
    <col min="2" max="2" width="11" customWidth="1"/>
    <col min="3" max="3" width="17.7109375" bestFit="1" customWidth="1"/>
    <col min="4" max="4" width="13.5703125" bestFit="1" customWidth="1"/>
    <col min="5" max="5" width="11.42578125" bestFit="1" customWidth="1"/>
    <col min="6" max="6" width="15.28515625" bestFit="1" customWidth="1"/>
    <col min="7" max="7" width="15.85546875" bestFit="1" customWidth="1"/>
    <col min="8" max="8" width="10.85546875" bestFit="1" customWidth="1"/>
    <col min="9" max="9" width="7.42578125" bestFit="1" customWidth="1"/>
    <col min="10" max="10" width="11.5703125" bestFit="1" customWidth="1"/>
    <col min="11" max="11" width="11" bestFit="1" customWidth="1"/>
    <col min="12" max="12" width="16" bestFit="1" customWidth="1"/>
    <col min="13" max="13" width="22.42578125" bestFit="1" customWidth="1"/>
  </cols>
  <sheetData>
    <row r="1" spans="1:13" ht="15.75" thickBo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2" t="s">
        <v>11</v>
      </c>
      <c r="M1" s="12" t="s">
        <v>186</v>
      </c>
    </row>
    <row r="2" spans="1:13" ht="15.75" thickTop="1">
      <c r="A2" s="8">
        <v>100001</v>
      </c>
      <c r="B2" s="8" t="s">
        <v>103</v>
      </c>
      <c r="C2" s="8" t="s">
        <v>172</v>
      </c>
      <c r="D2" s="8" t="s">
        <v>173</v>
      </c>
      <c r="E2" s="9">
        <v>45696</v>
      </c>
      <c r="F2" s="8">
        <v>18</v>
      </c>
      <c r="G2" s="8" t="s">
        <v>174</v>
      </c>
      <c r="H2" s="8" t="s">
        <v>16</v>
      </c>
      <c r="I2" s="10">
        <v>82.6</v>
      </c>
      <c r="J2" s="8">
        <v>7</v>
      </c>
      <c r="K2" s="8" t="s">
        <v>27</v>
      </c>
      <c r="L2" s="8" t="s">
        <v>175</v>
      </c>
      <c r="M2" s="10">
        <f t="shared" ref="M2:M47" si="0">I2*J2</f>
        <v>578.19999999999993</v>
      </c>
    </row>
    <row r="3" spans="1:13">
      <c r="A3" s="8">
        <v>100002</v>
      </c>
      <c r="B3" s="8" t="s">
        <v>103</v>
      </c>
      <c r="C3" s="8" t="s">
        <v>80</v>
      </c>
      <c r="D3" s="8" t="s">
        <v>176</v>
      </c>
      <c r="E3" s="9">
        <v>45721</v>
      </c>
      <c r="F3" s="8">
        <v>28</v>
      </c>
      <c r="G3" s="8" t="s">
        <v>139</v>
      </c>
      <c r="H3" s="8" t="s">
        <v>34</v>
      </c>
      <c r="I3" s="10">
        <v>84.11</v>
      </c>
      <c r="J3" s="8">
        <v>2</v>
      </c>
      <c r="K3" s="8" t="s">
        <v>18</v>
      </c>
      <c r="L3" s="8" t="s">
        <v>28</v>
      </c>
      <c r="M3" s="10">
        <f t="shared" si="0"/>
        <v>168.22</v>
      </c>
    </row>
    <row r="4" spans="1:13">
      <c r="A4" s="8">
        <v>100003</v>
      </c>
      <c r="B4" s="8" t="s">
        <v>103</v>
      </c>
      <c r="C4" s="8" t="s">
        <v>177</v>
      </c>
      <c r="D4" s="8" t="s">
        <v>61</v>
      </c>
      <c r="E4" s="9">
        <v>45719</v>
      </c>
      <c r="F4" s="8">
        <v>49</v>
      </c>
      <c r="G4" s="8" t="s">
        <v>178</v>
      </c>
      <c r="H4" s="8" t="s">
        <v>34</v>
      </c>
      <c r="I4" s="10">
        <v>158.83000000000001</v>
      </c>
      <c r="J4" s="8">
        <v>8</v>
      </c>
      <c r="K4" s="8" t="s">
        <v>18</v>
      </c>
      <c r="L4" s="8" t="s">
        <v>28</v>
      </c>
      <c r="M4" s="10">
        <f t="shared" si="0"/>
        <v>1270.6400000000001</v>
      </c>
    </row>
    <row r="5" spans="1:13">
      <c r="A5" s="8">
        <v>100004</v>
      </c>
      <c r="B5" s="8" t="s">
        <v>103</v>
      </c>
      <c r="C5" s="8" t="s">
        <v>51</v>
      </c>
      <c r="D5" s="8" t="s">
        <v>157</v>
      </c>
      <c r="E5" s="9">
        <v>45715</v>
      </c>
      <c r="F5" s="8">
        <v>5</v>
      </c>
      <c r="G5" s="8" t="s">
        <v>139</v>
      </c>
      <c r="H5" s="8" t="s">
        <v>25</v>
      </c>
      <c r="I5" s="10">
        <v>129.61000000000001</v>
      </c>
      <c r="J5" s="8">
        <v>4</v>
      </c>
      <c r="K5" s="8" t="s">
        <v>18</v>
      </c>
      <c r="L5" s="8" t="s">
        <v>98</v>
      </c>
      <c r="M5" s="10">
        <f t="shared" si="0"/>
        <v>518.44000000000005</v>
      </c>
    </row>
    <row r="6" spans="1:13">
      <c r="A6" s="8">
        <v>100005</v>
      </c>
      <c r="B6" s="8" t="s">
        <v>75</v>
      </c>
      <c r="C6" s="8" t="s">
        <v>106</v>
      </c>
      <c r="D6" s="8" t="s">
        <v>57</v>
      </c>
      <c r="E6" s="9">
        <v>45724</v>
      </c>
      <c r="F6" s="8">
        <v>18</v>
      </c>
      <c r="G6" s="8" t="s">
        <v>109</v>
      </c>
      <c r="H6" s="8" t="s">
        <v>25</v>
      </c>
      <c r="I6" s="10">
        <v>83.64</v>
      </c>
      <c r="J6" s="8">
        <v>1</v>
      </c>
      <c r="K6" s="8" t="s">
        <v>18</v>
      </c>
      <c r="L6" s="8" t="s">
        <v>50</v>
      </c>
      <c r="M6" s="10">
        <f t="shared" si="0"/>
        <v>83.64</v>
      </c>
    </row>
    <row r="7" spans="1:13">
      <c r="A7" s="8">
        <v>100006</v>
      </c>
      <c r="B7" s="8" t="s">
        <v>103</v>
      </c>
      <c r="C7" s="8" t="s">
        <v>149</v>
      </c>
      <c r="D7" s="8" t="s">
        <v>127</v>
      </c>
      <c r="E7" s="9">
        <v>45819</v>
      </c>
      <c r="F7" s="8">
        <v>15</v>
      </c>
      <c r="G7" s="8" t="s">
        <v>139</v>
      </c>
      <c r="H7" s="8" t="s">
        <v>25</v>
      </c>
      <c r="I7" s="10">
        <v>101.12</v>
      </c>
      <c r="J7" s="8">
        <v>1</v>
      </c>
      <c r="K7" s="8" t="s">
        <v>18</v>
      </c>
      <c r="L7" s="8" t="s">
        <v>28</v>
      </c>
      <c r="M7" s="10">
        <f t="shared" si="0"/>
        <v>101.12</v>
      </c>
    </row>
    <row r="8" spans="1:13">
      <c r="A8" s="8">
        <v>100007</v>
      </c>
      <c r="B8" s="8" t="s">
        <v>103</v>
      </c>
      <c r="C8" s="8" t="s">
        <v>179</v>
      </c>
      <c r="D8" s="8" t="s">
        <v>173</v>
      </c>
      <c r="E8" s="9">
        <v>45748</v>
      </c>
      <c r="F8" s="8">
        <v>15</v>
      </c>
      <c r="G8" s="8" t="s">
        <v>139</v>
      </c>
      <c r="H8" s="8" t="s">
        <v>47</v>
      </c>
      <c r="I8" s="10">
        <v>122.26</v>
      </c>
      <c r="J8" s="8">
        <v>4</v>
      </c>
      <c r="K8" s="8" t="s">
        <v>18</v>
      </c>
      <c r="L8" s="8" t="s">
        <v>175</v>
      </c>
      <c r="M8" s="10">
        <f t="shared" si="0"/>
        <v>489.04</v>
      </c>
    </row>
    <row r="9" spans="1:13">
      <c r="A9" s="8">
        <v>100008</v>
      </c>
      <c r="B9" s="8" t="s">
        <v>75</v>
      </c>
      <c r="C9" s="8" t="s">
        <v>180</v>
      </c>
      <c r="D9" s="8" t="s">
        <v>173</v>
      </c>
      <c r="E9" s="9">
        <v>45831</v>
      </c>
      <c r="F9" s="8">
        <v>26</v>
      </c>
      <c r="G9" s="8" t="s">
        <v>139</v>
      </c>
      <c r="H9" s="8" t="s">
        <v>25</v>
      </c>
      <c r="I9" s="10">
        <v>200.2</v>
      </c>
      <c r="J9" s="8">
        <v>6</v>
      </c>
      <c r="K9" s="8" t="s">
        <v>18</v>
      </c>
      <c r="L9" s="8" t="s">
        <v>98</v>
      </c>
      <c r="M9" s="10">
        <f t="shared" si="0"/>
        <v>1201.1999999999998</v>
      </c>
    </row>
    <row r="10" spans="1:13">
      <c r="A10" s="8">
        <v>100009</v>
      </c>
      <c r="B10" s="8" t="s">
        <v>103</v>
      </c>
      <c r="C10" s="8" t="s">
        <v>51</v>
      </c>
      <c r="D10" s="8" t="s">
        <v>181</v>
      </c>
      <c r="E10" s="9">
        <v>45785</v>
      </c>
      <c r="F10" s="8">
        <v>36</v>
      </c>
      <c r="G10" s="8" t="s">
        <v>82</v>
      </c>
      <c r="H10" s="8" t="s">
        <v>88</v>
      </c>
      <c r="I10" s="10">
        <v>200.2</v>
      </c>
      <c r="J10" s="8">
        <v>10</v>
      </c>
      <c r="K10" s="8" t="s">
        <v>18</v>
      </c>
      <c r="L10" s="8" t="s">
        <v>50</v>
      </c>
      <c r="M10" s="10">
        <f t="shared" si="0"/>
        <v>2002</v>
      </c>
    </row>
    <row r="11" spans="1:13">
      <c r="A11" s="8">
        <v>100010</v>
      </c>
      <c r="B11" s="8" t="s">
        <v>75</v>
      </c>
      <c r="C11" s="8" t="s">
        <v>159</v>
      </c>
      <c r="D11" s="8" t="s">
        <v>61</v>
      </c>
      <c r="E11" s="9">
        <v>45695</v>
      </c>
      <c r="F11" s="8">
        <v>69</v>
      </c>
      <c r="G11" s="8" t="s">
        <v>82</v>
      </c>
      <c r="H11" s="8" t="s">
        <v>88</v>
      </c>
      <c r="I11" s="10">
        <v>169.69</v>
      </c>
      <c r="J11" s="8">
        <v>5</v>
      </c>
      <c r="K11" s="8" t="s">
        <v>18</v>
      </c>
      <c r="L11" s="8" t="s">
        <v>175</v>
      </c>
      <c r="M11" s="10">
        <f t="shared" si="0"/>
        <v>848.45</v>
      </c>
    </row>
    <row r="12" spans="1:13">
      <c r="A12" s="8">
        <v>100011</v>
      </c>
      <c r="B12" s="8" t="s">
        <v>75</v>
      </c>
      <c r="C12" s="8" t="s">
        <v>180</v>
      </c>
      <c r="D12" s="8" t="s">
        <v>57</v>
      </c>
      <c r="E12" s="9">
        <v>45663</v>
      </c>
      <c r="F12" s="8">
        <v>49</v>
      </c>
      <c r="G12" s="8" t="s">
        <v>174</v>
      </c>
      <c r="H12" s="8" t="s">
        <v>25</v>
      </c>
      <c r="I12" s="10">
        <v>200.2</v>
      </c>
      <c r="J12" s="8">
        <v>8</v>
      </c>
      <c r="K12" s="8" t="s">
        <v>18</v>
      </c>
      <c r="L12" s="8" t="s">
        <v>98</v>
      </c>
      <c r="M12" s="10">
        <f t="shared" si="0"/>
        <v>1601.6</v>
      </c>
    </row>
    <row r="13" spans="1:13">
      <c r="A13" s="8">
        <v>100012</v>
      </c>
      <c r="B13" s="8" t="s">
        <v>103</v>
      </c>
      <c r="C13" s="8" t="s">
        <v>177</v>
      </c>
      <c r="D13" s="8" t="s">
        <v>182</v>
      </c>
      <c r="E13" s="9">
        <v>45685</v>
      </c>
      <c r="F13" s="8">
        <v>24</v>
      </c>
      <c r="G13" s="8" t="s">
        <v>174</v>
      </c>
      <c r="H13" s="8" t="s">
        <v>16</v>
      </c>
      <c r="I13" s="10">
        <v>77.67</v>
      </c>
      <c r="J13" s="8">
        <v>4</v>
      </c>
      <c r="K13" s="8" t="s">
        <v>18</v>
      </c>
      <c r="L13" s="8" t="s">
        <v>98</v>
      </c>
      <c r="M13" s="10">
        <f t="shared" si="0"/>
        <v>310.68</v>
      </c>
    </row>
    <row r="14" spans="1:13">
      <c r="A14" s="8">
        <v>100013</v>
      </c>
      <c r="B14" s="8" t="s">
        <v>103</v>
      </c>
      <c r="C14" s="8" t="s">
        <v>13</v>
      </c>
      <c r="D14" s="8" t="s">
        <v>72</v>
      </c>
      <c r="E14" s="9">
        <v>45741</v>
      </c>
      <c r="F14" s="8">
        <v>120</v>
      </c>
      <c r="G14" s="8" t="s">
        <v>174</v>
      </c>
      <c r="H14" s="8" t="s">
        <v>34</v>
      </c>
      <c r="I14" s="10">
        <v>179.15</v>
      </c>
      <c r="J14" s="8">
        <v>10</v>
      </c>
      <c r="K14" s="8" t="s">
        <v>18</v>
      </c>
      <c r="L14" s="8" t="s">
        <v>175</v>
      </c>
      <c r="M14" s="10">
        <f t="shared" si="0"/>
        <v>1791.5</v>
      </c>
    </row>
    <row r="15" spans="1:13">
      <c r="A15" s="8">
        <v>100014</v>
      </c>
      <c r="B15" s="8" t="s">
        <v>103</v>
      </c>
      <c r="C15" s="8" t="s">
        <v>149</v>
      </c>
      <c r="D15" s="8" t="s">
        <v>127</v>
      </c>
      <c r="E15" s="9">
        <v>45812</v>
      </c>
      <c r="F15" s="8">
        <v>113</v>
      </c>
      <c r="G15" s="8" t="s">
        <v>178</v>
      </c>
      <c r="H15" s="8" t="s">
        <v>47</v>
      </c>
      <c r="I15" s="10">
        <v>90.01</v>
      </c>
      <c r="J15" s="8">
        <v>2</v>
      </c>
      <c r="K15" s="8" t="s">
        <v>18</v>
      </c>
      <c r="L15" s="8" t="s">
        <v>50</v>
      </c>
      <c r="M15" s="10">
        <f t="shared" si="0"/>
        <v>180.02</v>
      </c>
    </row>
    <row r="16" spans="1:13">
      <c r="A16" s="8">
        <v>100015</v>
      </c>
      <c r="B16" s="8" t="s">
        <v>75</v>
      </c>
      <c r="C16" s="8" t="s">
        <v>177</v>
      </c>
      <c r="D16" s="8" t="s">
        <v>157</v>
      </c>
      <c r="E16" s="9">
        <v>45741</v>
      </c>
      <c r="F16" s="8">
        <v>17</v>
      </c>
      <c r="G16" s="8" t="s">
        <v>139</v>
      </c>
      <c r="H16" s="8" t="s">
        <v>88</v>
      </c>
      <c r="I16" s="10">
        <v>200.2</v>
      </c>
      <c r="J16" s="8">
        <v>9</v>
      </c>
      <c r="K16" s="8" t="s">
        <v>18</v>
      </c>
      <c r="L16" s="8" t="s">
        <v>98</v>
      </c>
      <c r="M16" s="10">
        <f t="shared" si="0"/>
        <v>1801.8</v>
      </c>
    </row>
    <row r="17" spans="1:13">
      <c r="A17" s="8">
        <v>100016</v>
      </c>
      <c r="B17" s="8" t="s">
        <v>103</v>
      </c>
      <c r="C17" s="8" t="s">
        <v>38</v>
      </c>
      <c r="D17" s="8" t="s">
        <v>61</v>
      </c>
      <c r="E17" s="9">
        <v>45816</v>
      </c>
      <c r="F17" s="8">
        <v>86</v>
      </c>
      <c r="G17" s="8" t="s">
        <v>174</v>
      </c>
      <c r="H17" s="8" t="s">
        <v>47</v>
      </c>
      <c r="I17" s="10">
        <v>262.83</v>
      </c>
      <c r="J17" s="8">
        <v>7</v>
      </c>
      <c r="K17" s="8" t="s">
        <v>18</v>
      </c>
      <c r="L17" s="8" t="s">
        <v>50</v>
      </c>
      <c r="M17" s="10">
        <f t="shared" si="0"/>
        <v>1839.81</v>
      </c>
    </row>
    <row r="18" spans="1:13">
      <c r="A18" s="8">
        <v>100017</v>
      </c>
      <c r="B18" s="8" t="s">
        <v>103</v>
      </c>
      <c r="C18" s="8" t="s">
        <v>43</v>
      </c>
      <c r="D18" s="8" t="s">
        <v>183</v>
      </c>
      <c r="E18" s="9">
        <v>45812</v>
      </c>
      <c r="F18" s="8">
        <v>49</v>
      </c>
      <c r="G18" s="8" t="s">
        <v>174</v>
      </c>
      <c r="H18" s="8" t="s">
        <v>25</v>
      </c>
      <c r="I18" s="10">
        <v>117.83</v>
      </c>
      <c r="J18" s="8">
        <v>8</v>
      </c>
      <c r="K18" s="8" t="s">
        <v>18</v>
      </c>
      <c r="L18" s="8" t="s">
        <v>50</v>
      </c>
      <c r="M18" s="10">
        <f t="shared" si="0"/>
        <v>942.64</v>
      </c>
    </row>
    <row r="19" spans="1:13">
      <c r="A19" s="8">
        <v>100018</v>
      </c>
      <c r="B19" s="8" t="s">
        <v>103</v>
      </c>
      <c r="C19" s="8" t="s">
        <v>159</v>
      </c>
      <c r="D19" s="8" t="s">
        <v>127</v>
      </c>
      <c r="E19" s="9">
        <v>45707</v>
      </c>
      <c r="F19" s="8">
        <v>49</v>
      </c>
      <c r="G19" s="8" t="s">
        <v>174</v>
      </c>
      <c r="H19" s="8" t="s">
        <v>34</v>
      </c>
      <c r="I19" s="10">
        <v>215.11</v>
      </c>
      <c r="J19" s="8">
        <v>6</v>
      </c>
      <c r="K19" s="8" t="s">
        <v>18</v>
      </c>
      <c r="L19" s="8" t="s">
        <v>28</v>
      </c>
      <c r="M19" s="10">
        <f t="shared" si="0"/>
        <v>1290.6600000000001</v>
      </c>
    </row>
    <row r="20" spans="1:13">
      <c r="A20" s="8">
        <v>100019</v>
      </c>
      <c r="B20" s="8" t="s">
        <v>103</v>
      </c>
      <c r="C20" s="8" t="s">
        <v>51</v>
      </c>
      <c r="D20" s="8" t="s">
        <v>184</v>
      </c>
      <c r="E20" s="9">
        <v>45738</v>
      </c>
      <c r="F20" s="8">
        <v>49</v>
      </c>
      <c r="G20" s="8" t="s">
        <v>174</v>
      </c>
      <c r="H20" s="8" t="s">
        <v>47</v>
      </c>
      <c r="I20" s="10">
        <v>191.85</v>
      </c>
      <c r="J20" s="8">
        <v>7</v>
      </c>
      <c r="K20" s="8" t="s">
        <v>18</v>
      </c>
      <c r="L20" s="8" t="s">
        <v>28</v>
      </c>
      <c r="M20" s="10">
        <f t="shared" si="0"/>
        <v>1342.95</v>
      </c>
    </row>
    <row r="21" spans="1:13">
      <c r="A21" s="8">
        <v>100020</v>
      </c>
      <c r="B21" s="8" t="s">
        <v>75</v>
      </c>
      <c r="C21" s="8" t="s">
        <v>106</v>
      </c>
      <c r="D21" s="8" t="s">
        <v>184</v>
      </c>
      <c r="E21" s="9">
        <v>45819</v>
      </c>
      <c r="F21" s="8">
        <v>60</v>
      </c>
      <c r="G21" s="8" t="s">
        <v>82</v>
      </c>
      <c r="H21" s="8" t="s">
        <v>25</v>
      </c>
      <c r="I21" s="10">
        <v>200.2</v>
      </c>
      <c r="J21" s="8">
        <v>9</v>
      </c>
      <c r="K21" s="8" t="s">
        <v>18</v>
      </c>
      <c r="L21" s="8" t="s">
        <v>50</v>
      </c>
      <c r="M21" s="10">
        <f t="shared" si="0"/>
        <v>1801.8</v>
      </c>
    </row>
    <row r="22" spans="1:13">
      <c r="A22" s="8">
        <v>100021</v>
      </c>
      <c r="B22" s="8" t="s">
        <v>103</v>
      </c>
      <c r="C22" s="8" t="s">
        <v>116</v>
      </c>
      <c r="D22" s="8" t="s">
        <v>184</v>
      </c>
      <c r="E22" s="9">
        <v>45672</v>
      </c>
      <c r="F22" s="8">
        <v>54</v>
      </c>
      <c r="G22" s="8" t="s">
        <v>109</v>
      </c>
      <c r="H22" s="8" t="s">
        <v>88</v>
      </c>
      <c r="I22" s="10">
        <v>246.77</v>
      </c>
      <c r="J22" s="8">
        <v>7</v>
      </c>
      <c r="K22" s="8" t="s">
        <v>18</v>
      </c>
      <c r="L22" s="8" t="s">
        <v>50</v>
      </c>
      <c r="M22" s="10">
        <f t="shared" si="0"/>
        <v>1727.39</v>
      </c>
    </row>
    <row r="23" spans="1:13">
      <c r="A23" s="8">
        <v>100022</v>
      </c>
      <c r="B23" s="8" t="s">
        <v>103</v>
      </c>
      <c r="C23" s="8" t="s">
        <v>159</v>
      </c>
      <c r="D23" s="8" t="s">
        <v>72</v>
      </c>
      <c r="E23" s="9">
        <v>45714</v>
      </c>
      <c r="F23" s="8">
        <v>60</v>
      </c>
      <c r="G23" s="8" t="s">
        <v>109</v>
      </c>
      <c r="H23" s="8" t="s">
        <v>16</v>
      </c>
      <c r="I23" s="10">
        <v>214.82</v>
      </c>
      <c r="J23" s="8">
        <v>8</v>
      </c>
      <c r="K23" s="8" t="s">
        <v>18</v>
      </c>
      <c r="L23" s="8" t="s">
        <v>98</v>
      </c>
      <c r="M23" s="10">
        <f t="shared" si="0"/>
        <v>1718.56</v>
      </c>
    </row>
    <row r="24" spans="1:13">
      <c r="A24" s="8">
        <v>100023</v>
      </c>
      <c r="B24" s="8" t="s">
        <v>103</v>
      </c>
      <c r="C24" s="8" t="s">
        <v>43</v>
      </c>
      <c r="D24" s="8" t="s">
        <v>72</v>
      </c>
      <c r="E24" s="9">
        <v>45680</v>
      </c>
      <c r="F24" s="8">
        <v>37</v>
      </c>
      <c r="G24" s="8" t="s">
        <v>178</v>
      </c>
      <c r="H24" s="8" t="s">
        <v>47</v>
      </c>
      <c r="I24" s="10">
        <v>147.32</v>
      </c>
      <c r="J24" s="8">
        <v>9</v>
      </c>
      <c r="K24" s="8" t="s">
        <v>27</v>
      </c>
      <c r="L24" s="8" t="s">
        <v>50</v>
      </c>
      <c r="M24" s="10">
        <f t="shared" si="0"/>
        <v>1325.8799999999999</v>
      </c>
    </row>
    <row r="25" spans="1:13">
      <c r="A25" s="8">
        <v>100024</v>
      </c>
      <c r="B25" s="8" t="s">
        <v>103</v>
      </c>
      <c r="C25" s="8" t="s">
        <v>106</v>
      </c>
      <c r="D25" s="8" t="s">
        <v>57</v>
      </c>
      <c r="E25" s="9">
        <v>45748</v>
      </c>
      <c r="F25" s="8">
        <v>46</v>
      </c>
      <c r="G25" s="8" t="s">
        <v>139</v>
      </c>
      <c r="H25" s="8" t="s">
        <v>25</v>
      </c>
      <c r="I25" s="10">
        <v>281.89999999999998</v>
      </c>
      <c r="J25" s="8">
        <v>7</v>
      </c>
      <c r="K25" s="8" t="s">
        <v>18</v>
      </c>
      <c r="L25" s="8" t="s">
        <v>98</v>
      </c>
      <c r="M25" s="10">
        <f t="shared" si="0"/>
        <v>1973.2999999999997</v>
      </c>
    </row>
    <row r="26" spans="1:13">
      <c r="A26" s="8">
        <v>100025</v>
      </c>
      <c r="B26" s="8" t="s">
        <v>103</v>
      </c>
      <c r="C26" s="8" t="s">
        <v>185</v>
      </c>
      <c r="D26" s="8" t="s">
        <v>184</v>
      </c>
      <c r="E26" s="9">
        <v>45799</v>
      </c>
      <c r="F26" s="8">
        <v>4</v>
      </c>
      <c r="G26" s="8" t="s">
        <v>174</v>
      </c>
      <c r="H26" s="8" t="s">
        <v>25</v>
      </c>
      <c r="I26" s="10">
        <v>95.28</v>
      </c>
      <c r="J26" s="8">
        <v>8</v>
      </c>
      <c r="K26" s="8" t="s">
        <v>27</v>
      </c>
      <c r="L26" s="8" t="s">
        <v>28</v>
      </c>
      <c r="M26" s="10">
        <f t="shared" si="0"/>
        <v>762.24</v>
      </c>
    </row>
    <row r="27" spans="1:13">
      <c r="A27" s="8">
        <v>100026</v>
      </c>
      <c r="B27" s="8" t="s">
        <v>103</v>
      </c>
      <c r="C27" s="8" t="s">
        <v>38</v>
      </c>
      <c r="D27" s="8" t="s">
        <v>61</v>
      </c>
      <c r="E27" s="9">
        <v>45811</v>
      </c>
      <c r="F27" s="8">
        <v>100</v>
      </c>
      <c r="G27" s="8" t="s">
        <v>174</v>
      </c>
      <c r="H27" s="8" t="s">
        <v>34</v>
      </c>
      <c r="I27" s="10">
        <v>306.89999999999998</v>
      </c>
      <c r="J27" s="8">
        <v>4</v>
      </c>
      <c r="K27" s="8" t="s">
        <v>18</v>
      </c>
      <c r="L27" s="8" t="s">
        <v>98</v>
      </c>
      <c r="M27" s="10">
        <f t="shared" si="0"/>
        <v>1227.5999999999999</v>
      </c>
    </row>
    <row r="28" spans="1:13">
      <c r="A28" s="8">
        <v>100027</v>
      </c>
      <c r="B28" s="8" t="s">
        <v>103</v>
      </c>
      <c r="C28" s="8" t="s">
        <v>13</v>
      </c>
      <c r="D28" s="8" t="s">
        <v>181</v>
      </c>
      <c r="E28" s="9">
        <v>45778</v>
      </c>
      <c r="F28" s="8">
        <v>119</v>
      </c>
      <c r="G28" s="8" t="s">
        <v>139</v>
      </c>
      <c r="H28" s="8" t="s">
        <v>16</v>
      </c>
      <c r="I28" s="10">
        <v>200.2</v>
      </c>
      <c r="J28" s="8">
        <v>7</v>
      </c>
      <c r="K28" s="8" t="s">
        <v>18</v>
      </c>
      <c r="L28" s="8" t="s">
        <v>50</v>
      </c>
      <c r="M28" s="10">
        <f t="shared" si="0"/>
        <v>1401.3999999999999</v>
      </c>
    </row>
    <row r="29" spans="1:13">
      <c r="A29" s="8">
        <v>100028</v>
      </c>
      <c r="B29" s="8" t="s">
        <v>75</v>
      </c>
      <c r="C29" s="8" t="s">
        <v>38</v>
      </c>
      <c r="D29" s="8" t="s">
        <v>181</v>
      </c>
      <c r="E29" s="9">
        <v>45798</v>
      </c>
      <c r="F29" s="8">
        <v>44</v>
      </c>
      <c r="G29" s="8" t="s">
        <v>174</v>
      </c>
      <c r="H29" s="8" t="s">
        <v>25</v>
      </c>
      <c r="I29" s="10">
        <v>273.81</v>
      </c>
      <c r="J29" s="8">
        <v>2</v>
      </c>
      <c r="K29" s="8" t="s">
        <v>18</v>
      </c>
      <c r="L29" s="8" t="s">
        <v>28</v>
      </c>
      <c r="M29" s="10">
        <f t="shared" si="0"/>
        <v>547.62</v>
      </c>
    </row>
    <row r="30" spans="1:13">
      <c r="A30" s="8">
        <v>100029</v>
      </c>
      <c r="B30" s="8" t="s">
        <v>75</v>
      </c>
      <c r="C30" s="8" t="s">
        <v>51</v>
      </c>
      <c r="D30" s="8" t="s">
        <v>61</v>
      </c>
      <c r="E30" s="9">
        <v>45666</v>
      </c>
      <c r="F30" s="8">
        <v>113</v>
      </c>
      <c r="G30" s="8" t="s">
        <v>82</v>
      </c>
      <c r="H30" s="8" t="s">
        <v>88</v>
      </c>
      <c r="I30" s="10">
        <v>255.12</v>
      </c>
      <c r="J30" s="8">
        <v>10</v>
      </c>
      <c r="K30" s="8" t="s">
        <v>18</v>
      </c>
      <c r="L30" s="8" t="s">
        <v>36</v>
      </c>
      <c r="M30" s="10">
        <f t="shared" si="0"/>
        <v>2551.1999999999998</v>
      </c>
    </row>
    <row r="31" spans="1:13">
      <c r="A31" s="8">
        <v>100030</v>
      </c>
      <c r="B31" s="8" t="s">
        <v>103</v>
      </c>
      <c r="C31" s="8" t="s">
        <v>30</v>
      </c>
      <c r="D31" s="8" t="s">
        <v>61</v>
      </c>
      <c r="E31" s="9">
        <v>45822</v>
      </c>
      <c r="F31" s="8">
        <v>63</v>
      </c>
      <c r="G31" s="8" t="s">
        <v>109</v>
      </c>
      <c r="H31" s="8" t="s">
        <v>88</v>
      </c>
      <c r="I31" s="10">
        <v>239.56</v>
      </c>
      <c r="J31" s="8">
        <v>8</v>
      </c>
      <c r="K31" s="8" t="s">
        <v>18</v>
      </c>
      <c r="L31" s="8" t="s">
        <v>175</v>
      </c>
      <c r="M31" s="10">
        <f t="shared" si="0"/>
        <v>1916.48</v>
      </c>
    </row>
    <row r="32" spans="1:13">
      <c r="A32" s="8">
        <v>100031</v>
      </c>
      <c r="B32" s="8" t="s">
        <v>75</v>
      </c>
      <c r="C32" s="8" t="s">
        <v>43</v>
      </c>
      <c r="D32" s="8" t="s">
        <v>127</v>
      </c>
      <c r="E32" s="9">
        <v>45724</v>
      </c>
      <c r="F32" s="8">
        <v>16</v>
      </c>
      <c r="G32" s="8" t="s">
        <v>178</v>
      </c>
      <c r="H32" s="8" t="s">
        <v>47</v>
      </c>
      <c r="I32" s="10">
        <v>91.08</v>
      </c>
      <c r="J32" s="8">
        <v>9</v>
      </c>
      <c r="K32" s="8" t="s">
        <v>18</v>
      </c>
      <c r="L32" s="8" t="s">
        <v>50</v>
      </c>
      <c r="M32" s="10">
        <f t="shared" si="0"/>
        <v>819.72</v>
      </c>
    </row>
    <row r="33" spans="1:13">
      <c r="A33" s="8">
        <v>100032</v>
      </c>
      <c r="B33" s="8" t="s">
        <v>103</v>
      </c>
      <c r="C33" s="8" t="s">
        <v>149</v>
      </c>
      <c r="D33" s="8" t="s">
        <v>183</v>
      </c>
      <c r="E33" s="9">
        <v>45718</v>
      </c>
      <c r="F33" s="8">
        <v>7</v>
      </c>
      <c r="G33" s="8" t="s">
        <v>109</v>
      </c>
      <c r="H33" s="8" t="s">
        <v>47</v>
      </c>
      <c r="I33" s="10">
        <v>241.33</v>
      </c>
      <c r="J33" s="8">
        <v>3</v>
      </c>
      <c r="K33" s="8" t="s">
        <v>18</v>
      </c>
      <c r="L33" s="8" t="s">
        <v>36</v>
      </c>
      <c r="M33" s="10">
        <f t="shared" si="0"/>
        <v>723.99</v>
      </c>
    </row>
    <row r="34" spans="1:13">
      <c r="A34" s="8">
        <v>100033</v>
      </c>
      <c r="B34" s="8" t="s">
        <v>103</v>
      </c>
      <c r="C34" s="8" t="s">
        <v>106</v>
      </c>
      <c r="D34" s="8" t="s">
        <v>157</v>
      </c>
      <c r="E34" s="9">
        <v>45693</v>
      </c>
      <c r="F34" s="8">
        <v>104</v>
      </c>
      <c r="G34" s="8" t="s">
        <v>109</v>
      </c>
      <c r="H34" s="8" t="s">
        <v>47</v>
      </c>
      <c r="I34" s="10">
        <v>82.15</v>
      </c>
      <c r="J34" s="8">
        <v>4</v>
      </c>
      <c r="K34" s="8" t="s">
        <v>27</v>
      </c>
      <c r="L34" s="8" t="s">
        <v>36</v>
      </c>
      <c r="M34" s="10">
        <f t="shared" si="0"/>
        <v>328.6</v>
      </c>
    </row>
    <row r="35" spans="1:13">
      <c r="A35" s="8">
        <v>100034</v>
      </c>
      <c r="B35" s="8" t="s">
        <v>103</v>
      </c>
      <c r="C35" s="8" t="s">
        <v>180</v>
      </c>
      <c r="D35" s="8" t="s">
        <v>61</v>
      </c>
      <c r="E35" s="9">
        <v>45738</v>
      </c>
      <c r="F35" s="8">
        <v>11</v>
      </c>
      <c r="G35" s="8" t="s">
        <v>178</v>
      </c>
      <c r="H35" s="8" t="s">
        <v>88</v>
      </c>
      <c r="I35" s="10">
        <v>105.19</v>
      </c>
      <c r="J35" s="8">
        <v>2</v>
      </c>
      <c r="K35" s="8" t="s">
        <v>27</v>
      </c>
      <c r="L35" s="8" t="s">
        <v>36</v>
      </c>
      <c r="M35" s="10">
        <f t="shared" si="0"/>
        <v>210.38</v>
      </c>
    </row>
    <row r="36" spans="1:13">
      <c r="A36" s="8">
        <v>100035</v>
      </c>
      <c r="B36" s="8" t="s">
        <v>103</v>
      </c>
      <c r="C36" s="8" t="s">
        <v>80</v>
      </c>
      <c r="D36" s="8" t="s">
        <v>181</v>
      </c>
      <c r="E36" s="9">
        <v>45785</v>
      </c>
      <c r="F36" s="8">
        <v>83</v>
      </c>
      <c r="G36" s="8" t="s">
        <v>178</v>
      </c>
      <c r="H36" s="8" t="s">
        <v>47</v>
      </c>
      <c r="I36" s="10">
        <v>274.92</v>
      </c>
      <c r="J36" s="8">
        <v>2</v>
      </c>
      <c r="K36" s="8" t="s">
        <v>27</v>
      </c>
      <c r="L36" s="8" t="s">
        <v>28</v>
      </c>
      <c r="M36" s="10">
        <f t="shared" si="0"/>
        <v>549.84</v>
      </c>
    </row>
    <row r="37" spans="1:13">
      <c r="A37" s="8">
        <v>100036</v>
      </c>
      <c r="B37" s="8" t="s">
        <v>103</v>
      </c>
      <c r="C37" s="8" t="s">
        <v>80</v>
      </c>
      <c r="D37" s="8" t="s">
        <v>176</v>
      </c>
      <c r="E37" s="9">
        <v>45786</v>
      </c>
      <c r="F37" s="8">
        <v>4</v>
      </c>
      <c r="G37" s="8" t="s">
        <v>174</v>
      </c>
      <c r="H37" s="8" t="s">
        <v>88</v>
      </c>
      <c r="I37" s="10">
        <v>310.10000000000002</v>
      </c>
      <c r="J37" s="8">
        <v>10</v>
      </c>
      <c r="K37" s="8" t="s">
        <v>18</v>
      </c>
      <c r="L37" s="8" t="s">
        <v>175</v>
      </c>
      <c r="M37" s="10">
        <f t="shared" si="0"/>
        <v>3101</v>
      </c>
    </row>
    <row r="38" spans="1:13">
      <c r="A38" s="8">
        <v>100037</v>
      </c>
      <c r="B38" s="8" t="s">
        <v>75</v>
      </c>
      <c r="C38" s="8" t="s">
        <v>30</v>
      </c>
      <c r="D38" s="8" t="s">
        <v>72</v>
      </c>
      <c r="E38" s="9">
        <v>45730</v>
      </c>
      <c r="F38" s="8">
        <v>43</v>
      </c>
      <c r="G38" s="8" t="s">
        <v>139</v>
      </c>
      <c r="H38" s="8" t="s">
        <v>34</v>
      </c>
      <c r="I38" s="10">
        <v>283.01</v>
      </c>
      <c r="J38" s="8">
        <v>6</v>
      </c>
      <c r="K38" s="8" t="s">
        <v>18</v>
      </c>
      <c r="L38" s="8" t="s">
        <v>36</v>
      </c>
      <c r="M38" s="10">
        <f t="shared" si="0"/>
        <v>1698.06</v>
      </c>
    </row>
    <row r="39" spans="1:13">
      <c r="A39" s="8">
        <v>100038</v>
      </c>
      <c r="B39" s="8" t="s">
        <v>103</v>
      </c>
      <c r="C39" s="8" t="s">
        <v>149</v>
      </c>
      <c r="D39" s="8" t="s">
        <v>72</v>
      </c>
      <c r="E39" s="9">
        <v>45749</v>
      </c>
      <c r="F39" s="8">
        <v>49</v>
      </c>
      <c r="G39" s="8" t="s">
        <v>109</v>
      </c>
      <c r="H39" s="8" t="s">
        <v>47</v>
      </c>
      <c r="I39" s="10">
        <v>221.88</v>
      </c>
      <c r="J39" s="8">
        <v>8</v>
      </c>
      <c r="K39" s="8" t="s">
        <v>18</v>
      </c>
      <c r="L39" s="8" t="s">
        <v>175</v>
      </c>
      <c r="M39" s="10">
        <f t="shared" si="0"/>
        <v>1775.04</v>
      </c>
    </row>
    <row r="40" spans="1:13">
      <c r="A40" s="8">
        <v>100039</v>
      </c>
      <c r="B40" s="8" t="s">
        <v>103</v>
      </c>
      <c r="C40" s="8" t="s">
        <v>149</v>
      </c>
      <c r="D40" s="8" t="s">
        <v>57</v>
      </c>
      <c r="E40" s="9">
        <v>45665</v>
      </c>
      <c r="F40" s="8">
        <v>108</v>
      </c>
      <c r="G40" s="8" t="s">
        <v>174</v>
      </c>
      <c r="H40" s="8" t="s">
        <v>25</v>
      </c>
      <c r="I40" s="10">
        <v>306.24</v>
      </c>
      <c r="J40" s="8">
        <v>3</v>
      </c>
      <c r="K40" s="8" t="s">
        <v>18</v>
      </c>
      <c r="L40" s="8" t="s">
        <v>28</v>
      </c>
      <c r="M40" s="10">
        <f t="shared" si="0"/>
        <v>918.72</v>
      </c>
    </row>
    <row r="41" spans="1:13">
      <c r="A41" s="8">
        <v>100040</v>
      </c>
      <c r="B41" s="8" t="s">
        <v>75</v>
      </c>
      <c r="C41" s="8" t="s">
        <v>80</v>
      </c>
      <c r="D41" s="8" t="s">
        <v>176</v>
      </c>
      <c r="E41" s="9">
        <v>45786</v>
      </c>
      <c r="F41" s="8">
        <v>106</v>
      </c>
      <c r="G41" s="8" t="s">
        <v>174</v>
      </c>
      <c r="H41" s="8" t="s">
        <v>47</v>
      </c>
      <c r="I41" s="10">
        <v>248.77</v>
      </c>
      <c r="J41" s="8">
        <v>10</v>
      </c>
      <c r="K41" s="8" t="s">
        <v>18</v>
      </c>
      <c r="L41" s="8" t="s">
        <v>36</v>
      </c>
      <c r="M41" s="10">
        <f t="shared" si="0"/>
        <v>2487.7000000000003</v>
      </c>
    </row>
    <row r="42" spans="1:13">
      <c r="A42" s="8">
        <v>100041</v>
      </c>
      <c r="B42" s="8" t="s">
        <v>103</v>
      </c>
      <c r="C42" s="8" t="s">
        <v>80</v>
      </c>
      <c r="D42" s="8" t="s">
        <v>157</v>
      </c>
      <c r="E42" s="9">
        <v>45740</v>
      </c>
      <c r="F42" s="8">
        <v>49</v>
      </c>
      <c r="G42" s="8" t="s">
        <v>82</v>
      </c>
      <c r="H42" s="8" t="s">
        <v>25</v>
      </c>
      <c r="I42" s="10">
        <v>200.2</v>
      </c>
      <c r="J42" s="8">
        <v>3</v>
      </c>
      <c r="K42" s="8" t="s">
        <v>18</v>
      </c>
      <c r="L42" s="8" t="s">
        <v>175</v>
      </c>
      <c r="M42" s="10">
        <f t="shared" si="0"/>
        <v>600.59999999999991</v>
      </c>
    </row>
    <row r="43" spans="1:13">
      <c r="A43" s="8">
        <v>100042</v>
      </c>
      <c r="B43" s="8" t="s">
        <v>75</v>
      </c>
      <c r="C43" s="8" t="s">
        <v>51</v>
      </c>
      <c r="D43" s="8" t="s">
        <v>184</v>
      </c>
      <c r="E43" s="9">
        <v>45821</v>
      </c>
      <c r="F43" s="8">
        <v>84</v>
      </c>
      <c r="G43" s="8" t="s">
        <v>174</v>
      </c>
      <c r="H43" s="8" t="s">
        <v>47</v>
      </c>
      <c r="I43" s="10">
        <v>281.61</v>
      </c>
      <c r="J43" s="8">
        <v>9</v>
      </c>
      <c r="K43" s="8" t="s">
        <v>18</v>
      </c>
      <c r="L43" s="8" t="s">
        <v>28</v>
      </c>
      <c r="M43" s="10">
        <f t="shared" si="0"/>
        <v>2534.4900000000002</v>
      </c>
    </row>
    <row r="44" spans="1:13">
      <c r="A44" s="8">
        <v>100043</v>
      </c>
      <c r="B44" s="8" t="s">
        <v>103</v>
      </c>
      <c r="C44" s="8" t="s">
        <v>159</v>
      </c>
      <c r="D44" s="8" t="s">
        <v>72</v>
      </c>
      <c r="E44" s="9">
        <v>45711</v>
      </c>
      <c r="F44" s="8">
        <v>49</v>
      </c>
      <c r="G44" s="8" t="s">
        <v>174</v>
      </c>
      <c r="H44" s="8" t="s">
        <v>34</v>
      </c>
      <c r="I44" s="10">
        <v>200.2</v>
      </c>
      <c r="J44" s="8">
        <v>1</v>
      </c>
      <c r="K44" s="8" t="s">
        <v>18</v>
      </c>
      <c r="L44" s="8" t="s">
        <v>28</v>
      </c>
      <c r="M44" s="10">
        <f t="shared" si="0"/>
        <v>200.2</v>
      </c>
    </row>
    <row r="45" spans="1:13">
      <c r="A45" s="8">
        <v>100044</v>
      </c>
      <c r="B45" s="8" t="s">
        <v>103</v>
      </c>
      <c r="C45" s="8" t="s">
        <v>138</v>
      </c>
      <c r="D45" s="8" t="s">
        <v>72</v>
      </c>
      <c r="E45" s="9">
        <v>45817</v>
      </c>
      <c r="F45" s="8">
        <v>59</v>
      </c>
      <c r="G45" s="8" t="s">
        <v>139</v>
      </c>
      <c r="H45" s="8" t="s">
        <v>34</v>
      </c>
      <c r="I45" s="10">
        <v>293.72000000000003</v>
      </c>
      <c r="J45" s="8">
        <v>8</v>
      </c>
      <c r="K45" s="8" t="s">
        <v>18</v>
      </c>
      <c r="L45" s="8" t="s">
        <v>98</v>
      </c>
      <c r="M45" s="10">
        <f t="shared" si="0"/>
        <v>2349.7600000000002</v>
      </c>
    </row>
    <row r="46" spans="1:13">
      <c r="A46" s="8">
        <v>100045</v>
      </c>
      <c r="B46" s="8" t="s">
        <v>103</v>
      </c>
      <c r="C46" s="8" t="s">
        <v>138</v>
      </c>
      <c r="D46" s="8" t="s">
        <v>57</v>
      </c>
      <c r="E46" s="9">
        <v>45789</v>
      </c>
      <c r="F46" s="8">
        <v>74</v>
      </c>
      <c r="G46" s="8" t="s">
        <v>139</v>
      </c>
      <c r="H46" s="8" t="s">
        <v>47</v>
      </c>
      <c r="I46" s="10">
        <v>65.7</v>
      </c>
      <c r="J46" s="8">
        <v>7</v>
      </c>
      <c r="K46" s="8" t="s">
        <v>27</v>
      </c>
      <c r="L46" s="8" t="s">
        <v>98</v>
      </c>
      <c r="M46" s="10">
        <f t="shared" si="0"/>
        <v>459.90000000000003</v>
      </c>
    </row>
    <row r="47" spans="1:13">
      <c r="A47" s="8">
        <v>100046</v>
      </c>
      <c r="B47" s="8" t="s">
        <v>103</v>
      </c>
      <c r="C47" s="8" t="s">
        <v>179</v>
      </c>
      <c r="D47" s="8" t="s">
        <v>127</v>
      </c>
      <c r="E47" s="9">
        <v>45833</v>
      </c>
      <c r="F47" s="8">
        <v>93</v>
      </c>
      <c r="G47" s="8" t="s">
        <v>178</v>
      </c>
      <c r="H47" s="8" t="s">
        <v>34</v>
      </c>
      <c r="I47" s="10">
        <v>294.88</v>
      </c>
      <c r="J47" s="8">
        <v>1</v>
      </c>
      <c r="K47" s="8" t="s">
        <v>18</v>
      </c>
      <c r="L47" s="8" t="s">
        <v>36</v>
      </c>
      <c r="M47" s="10">
        <f t="shared" si="0"/>
        <v>294.88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C14" sqref="C14"/>
    </sheetView>
  </sheetViews>
  <sheetFormatPr defaultRowHeight="15"/>
  <cols>
    <col min="1" max="1" width="35.140625" bestFit="1" customWidth="1"/>
    <col min="2" max="2" width="14.28515625" bestFit="1" customWidth="1"/>
  </cols>
  <sheetData>
    <row r="1" spans="1:2" ht="18.75">
      <c r="A1" s="13" t="s">
        <v>187</v>
      </c>
      <c r="B1" s="14" t="s">
        <v>195</v>
      </c>
    </row>
    <row r="2" spans="1:2" ht="18.75">
      <c r="A2" s="15" t="s">
        <v>188</v>
      </c>
      <c r="B2" s="14">
        <f>COUNTA(Clean_Data!A2:A47)</f>
        <v>46</v>
      </c>
    </row>
    <row r="3" spans="1:2" ht="18.75">
      <c r="A3" s="15" t="s">
        <v>189</v>
      </c>
      <c r="B3" s="14">
        <f>COUNTIF(Clean_Data!K2:K47, "Yes")</f>
        <v>7</v>
      </c>
    </row>
    <row r="4" spans="1:2" ht="18.75">
      <c r="A4" s="15" t="s">
        <v>190</v>
      </c>
      <c r="B4" s="16">
        <f>COUNTIF(Clean_Data!K2:K47, "Yes")/COUNTA(Clean_Data!A2:A47)</f>
        <v>0.15217391304347827</v>
      </c>
    </row>
    <row r="5" spans="1:2" ht="18.75">
      <c r="A5" s="15" t="s">
        <v>191</v>
      </c>
      <c r="B5" s="17">
        <f>SUMIFS(Clean_Data!M2:M47,Clean_Data!B2:B47,"Resort Hotel")</f>
        <v>36391.68</v>
      </c>
    </row>
    <row r="6" spans="1:2" ht="18.75">
      <c r="A6" s="15" t="s">
        <v>192</v>
      </c>
      <c r="B6" s="17">
        <f>SUMIFS(Clean_Data!M2:M47,Clean_Data!B2:B47,"City Hotel")</f>
        <v>17977.28</v>
      </c>
    </row>
    <row r="7" spans="1:2" ht="18.75">
      <c r="A7" s="15" t="s">
        <v>193</v>
      </c>
      <c r="B7" s="17">
        <f>AVERAGEIFS(Clean_Data!I2:I47,Clean_Data!G2:G47,"Direct")</f>
        <v>178.36636363636364</v>
      </c>
    </row>
    <row r="8" spans="1:2" ht="18.75">
      <c r="A8" s="15" t="s">
        <v>194</v>
      </c>
      <c r="B8" s="14">
        <f>COUNTIFS(Clean_Data!L2:L47,"Booking.Com")</f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Cleaning Formulas</vt:lpstr>
      <vt:lpstr>Clean_Data</vt:lpstr>
      <vt:lpstr>Summary Analysis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Shashaank</dc:creator>
  <cp:lastModifiedBy>Shashaank</cp:lastModifiedBy>
  <dcterms:created xsi:type="dcterms:W3CDTF">2026-09-28T14:36:01Z</dcterms:created>
  <dcterms:modified xsi:type="dcterms:W3CDTF">2026-10-01T06:21:50Z</dcterms:modified>
</cp:coreProperties>
</file>